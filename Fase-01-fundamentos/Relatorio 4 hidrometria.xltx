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3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Tobo batimetria" sheetId="1" state="visible" r:id="rId2"/>
    <sheet name="Micro molinete" sheetId="2" state="visible" r:id="rId3"/>
    <sheet name="Micro Molinte Integral" sheetId="3" state="visible" r:id="rId4"/>
    <sheet name="Molinete" sheetId="4" state="visible" r:id="rId5"/>
    <sheet name="Molinte Integral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<sst xmlns="http://schemas.openxmlformats.org/spreadsheetml/2006/main" count="566" uniqueCount="121">
  <si>
    <t xml:space="preserve">V0</t>
  </si>
  <si>
    <t xml:space="preserve">V1</t>
  </si>
  <si>
    <t xml:space="preserve">V2</t>
  </si>
  <si>
    <t xml:space="preserve">V3</t>
  </si>
  <si>
    <t xml:space="preserve">V4</t>
  </si>
  <si>
    <t xml:space="preserve">V5</t>
  </si>
  <si>
    <t xml:space="preserve">V6</t>
  </si>
  <si>
    <t xml:space="preserve">V7</t>
  </si>
  <si>
    <t xml:space="preserve">V8</t>
  </si>
  <si>
    <t xml:space="preserve">V9</t>
  </si>
  <si>
    <t xml:space="preserve">V10</t>
  </si>
  <si>
    <t xml:space="preserve">V11</t>
  </si>
  <si>
    <t xml:space="preserve">V12</t>
  </si>
  <si>
    <t xml:space="preserve">V13</t>
  </si>
  <si>
    <t xml:space="preserve">V14</t>
  </si>
  <si>
    <t xml:space="preserve">V15</t>
  </si>
  <si>
    <t xml:space="preserve">Média</t>
  </si>
  <si>
    <t xml:space="preserve">Distancia</t>
  </si>
  <si>
    <t xml:space="preserve">Areá</t>
  </si>
  <si>
    <t xml:space="preserve">Rotações</t>
  </si>
  <si>
    <t xml:space="preserve">Velocidades </t>
  </si>
  <si>
    <t xml:space="preserve">h1</t>
  </si>
  <si>
    <t xml:space="preserve">9,6,6(10cm do fundo)</t>
  </si>
  <si>
    <t xml:space="preserve">18,10,9(10 do fundo)</t>
  </si>
  <si>
    <t xml:space="preserve">7(10 do fundo)</t>
  </si>
  <si>
    <t xml:space="preserve">57(10 do fundo)</t>
  </si>
  <si>
    <t xml:space="preserve">35(10 do fundo)</t>
  </si>
  <si>
    <t xml:space="preserve">77(10 do fundo)</t>
  </si>
  <si>
    <t xml:space="preserve">88(10 do fundo)</t>
  </si>
  <si>
    <t xml:space="preserve">0(10 do fundo)</t>
  </si>
  <si>
    <t xml:space="preserve">81(10 do fundo)</t>
  </si>
  <si>
    <t xml:space="preserve">92(10 do fundo)</t>
  </si>
  <si>
    <t xml:space="preserve">79(10 do fundo)</t>
  </si>
  <si>
    <t xml:space="preserve">51(10 do fundo)</t>
  </si>
  <si>
    <t xml:space="preserve">74(10 do fundo)</t>
  </si>
  <si>
    <t xml:space="preserve">59(10 do fundo)</t>
  </si>
  <si>
    <t xml:space="preserve">h2</t>
  </si>
  <si>
    <t xml:space="preserve">9,5,6(22,5 do fundo)</t>
  </si>
  <si>
    <t xml:space="preserve">16,19,16(20 do fundo)</t>
  </si>
  <si>
    <t xml:space="preserve">29(25 do fundo)</t>
  </si>
  <si>
    <t xml:space="preserve">63(25 do fundo)</t>
  </si>
  <si>
    <t xml:space="preserve">81(25 do fundo)</t>
  </si>
  <si>
    <t xml:space="preserve">79(25 do fundo)</t>
  </si>
  <si>
    <t xml:space="preserve">99(25 do fundo)</t>
  </si>
  <si>
    <t xml:space="preserve">118(25 do fundo)</t>
  </si>
  <si>
    <t xml:space="preserve">99(20 do fundo)</t>
  </si>
  <si>
    <t xml:space="preserve">109(20 do fundo)</t>
  </si>
  <si>
    <t xml:space="preserve">84(20 do fundo)</t>
  </si>
  <si>
    <t xml:space="preserve">56(20 do fundo)</t>
  </si>
  <si>
    <t xml:space="preserve">75(20 do fundo)</t>
  </si>
  <si>
    <t xml:space="preserve">58(20 do fundo)</t>
  </si>
  <si>
    <t xml:space="preserve">h3</t>
  </si>
  <si>
    <t xml:space="preserve">7,7,9(35 do fundo)</t>
  </si>
  <si>
    <t xml:space="preserve">27,32,32(30 do fundo)</t>
  </si>
  <si>
    <t xml:space="preserve">-</t>
  </si>
  <si>
    <t xml:space="preserve">75(35 do fundo)</t>
  </si>
  <si>
    <t xml:space="preserve">43(35 do fundo)</t>
  </si>
  <si>
    <t xml:space="preserve">h4</t>
  </si>
  <si>
    <t xml:space="preserve">21,13,5,10(10 da super.)</t>
  </si>
  <si>
    <t xml:space="preserve">43,40,38(40 do fundo)</t>
  </si>
  <si>
    <t xml:space="preserve">49(40 do fundo)</t>
  </si>
  <si>
    <t xml:space="preserve">89(40 do fundo)</t>
  </si>
  <si>
    <t xml:space="preserve">96(40 do fundo)</t>
  </si>
  <si>
    <t xml:space="preserve">112(40 do fundo)</t>
  </si>
  <si>
    <t xml:space="preserve">131(40 do fundo)</t>
  </si>
  <si>
    <t xml:space="preserve">126(40 do fundo)</t>
  </si>
  <si>
    <t xml:space="preserve">111(40 do fundo)</t>
  </si>
  <si>
    <t xml:space="preserve">71(40 do fundo)</t>
  </si>
  <si>
    <t xml:space="preserve">h5</t>
  </si>
  <si>
    <t xml:space="preserve">54,56,54(50 do fundo)</t>
  </si>
  <si>
    <t xml:space="preserve">89(50 do fundo)</t>
  </si>
  <si>
    <t xml:space="preserve">90(50 do fundo)</t>
  </si>
  <si>
    <t xml:space="preserve">h6</t>
  </si>
  <si>
    <t xml:space="preserve">66,58(10 sup)</t>
  </si>
  <si>
    <t xml:space="preserve">93,91(10 sup)</t>
  </si>
  <si>
    <t xml:space="preserve">92(10 da sup)</t>
  </si>
  <si>
    <t xml:space="preserve">85(10 da sup)</t>
  </si>
  <si>
    <t xml:space="preserve">94(10 da sup)</t>
  </si>
  <si>
    <t xml:space="preserve">106(10 da sup)</t>
  </si>
  <si>
    <t xml:space="preserve">123(10 da sup)</t>
  </si>
  <si>
    <t xml:space="preserve">131(10 da sup)</t>
  </si>
  <si>
    <t xml:space="preserve">110(10 da sup)</t>
  </si>
  <si>
    <t xml:space="preserve">74(10 da sup)</t>
  </si>
  <si>
    <t xml:space="preserve">76(10 da sup)</t>
  </si>
  <si>
    <t xml:space="preserve">34(10 da sup)</t>
  </si>
  <si>
    <t xml:space="preserve">Rotações medias</t>
  </si>
  <si>
    <t xml:space="preserve">H(m)</t>
  </si>
  <si>
    <t xml:space="preserve">Metodo Secção Media</t>
  </si>
  <si>
    <t xml:space="preserve">Metodo meia Secção</t>
  </si>
  <si>
    <t xml:space="preserve">Vvm(m/s)</t>
  </si>
  <si>
    <t xml:space="preserve">Areá(m²)</t>
  </si>
  <si>
    <t xml:space="preserve">I(m)</t>
  </si>
  <si>
    <t xml:space="preserve">Vm(m/s)</t>
  </si>
  <si>
    <t xml:space="preserve">D(m)</t>
  </si>
  <si>
    <t xml:space="preserve">Q9(m³/s)</t>
  </si>
  <si>
    <t xml:space="preserve">Qt(m³/s)</t>
  </si>
  <si>
    <t xml:space="preserve">P(m)</t>
  </si>
  <si>
    <t xml:space="preserve">Velocidades</t>
  </si>
  <si>
    <t xml:space="preserve">V0 (m)</t>
  </si>
  <si>
    <t xml:space="preserve">V1 (m)</t>
  </si>
  <si>
    <t xml:space="preserve">V2 (m)</t>
  </si>
  <si>
    <t xml:space="preserve">V3 (m)</t>
  </si>
  <si>
    <t xml:space="preserve">V4 (m)</t>
  </si>
  <si>
    <t xml:space="preserve">V5 (m)</t>
  </si>
  <si>
    <t xml:space="preserve">V6 (m)</t>
  </si>
  <si>
    <t xml:space="preserve">V7 (m)</t>
  </si>
  <si>
    <t xml:space="preserve">V8 (m)</t>
  </si>
  <si>
    <t xml:space="preserve">V9 (m)</t>
  </si>
  <si>
    <t xml:space="preserve">V10 (m)</t>
  </si>
  <si>
    <t xml:space="preserve">V11 (m)</t>
  </si>
  <si>
    <t xml:space="preserve">V12 (m)</t>
  </si>
  <si>
    <t xml:space="preserve">V13 (m)</t>
  </si>
  <si>
    <t xml:space="preserve">V14 (m)</t>
  </si>
  <si>
    <t xml:space="preserve">V15 (m)</t>
  </si>
  <si>
    <t xml:space="preserve">q(m³/s/m)</t>
  </si>
  <si>
    <t xml:space="preserve">Q(m³/s)</t>
  </si>
  <si>
    <t xml:space="preserve">Vazão Total(m³/s)</t>
  </si>
  <si>
    <t xml:space="preserve">H1 - 0,60 m</t>
  </si>
  <si>
    <t xml:space="preserve">H2 - 0,50 m</t>
  </si>
  <si>
    <t xml:space="preserve">H3 - 0,40 m</t>
  </si>
  <si>
    <t xml:space="preserve">H4 - 0,20 m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</si>
</sst>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#,##0.00"/>
    <numFmt numFmtId="166" formatCode="0.00"/>
    <numFmt numFmtId="167" formatCode="#,##0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000000"/>
      <name val="Times New Roman"/>
      <family val="1"/>
      <charset val="1"/>
    </font>
    <font>
      <sz val="10"/>
      <color rgb="FF000000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72E4"/>
        <bgColor rgb="FF007FFE"/>
      </patternFill>
    </fill>
    <fill>
      <patternFill patternType="solid">
        <fgColor rgb="FF0062C4"/>
        <bgColor rgb="FF0072E4"/>
      </patternFill>
    </fill>
    <fill>
      <patternFill patternType="solid">
        <fgColor rgb="FF007FFE"/>
        <bgColor rgb="FF0072E4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5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5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3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C5000B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4D1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2C4"/>
      <rgbColor rgb="FFDDDDDD"/>
      <rgbColor rgb="FF000080"/>
      <rgbColor rgb="FFFF00FF"/>
      <rgbColor rgb="FFFFFF00"/>
      <rgbColor rgb="FF00FFFF"/>
      <rgbColor rgb="FF800080"/>
      <rgbColor rgb="FF800000"/>
      <rgbColor rgb="FF007FFE"/>
      <rgbColor rgb="FF0000FF"/>
      <rgbColor rgb="FF00CCFF"/>
      <rgbColor rgb="FFCCFFFF"/>
      <rgbColor rgb="FFCCFFCC"/>
      <rgbColor rgb="FFFFFF99"/>
      <rgbColor rgb="FF83CAFF"/>
      <rgbColor rgb="FFFF99CC"/>
      <rgbColor rgb="FFCC99FF"/>
      <rgbColor rgb="FFFFCC99"/>
      <rgbColor rgb="FF0072E4"/>
      <rgbColor rgb="FF33CCCC"/>
      <rgbColor rgb="FFAECF00"/>
      <rgbColor rgb="FFFFD320"/>
      <rgbColor rgb="FFFF950E"/>
      <rgbColor rgb="FFFF420E"/>
      <rgbColor rgb="FF666699"/>
      <rgbColor rgb="FF969696"/>
      <rgbColor rgb="FF004586"/>
      <rgbColor rgb="FF579D1C"/>
      <rgbColor rgb="FF003300"/>
      <rgbColor rgb="FF314004"/>
      <rgbColor rgb="FF993300"/>
      <rgbColor rgb="FF993366"/>
      <rgbColor rgb="FF4B1F6F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Distancia(m) X Lamina de água(m)</a:t>
            </a:r>
          </a:p>
        </c:rich>
      </c:tx>
      <c:layout>
        <c:manualLayout>
          <c:xMode val="edge"/>
          <c:yMode val="edge"/>
          <c:x val="0.279104664249093"/>
          <c:y val="0.014809041309431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67587845442"/>
          <c:y val="0.168800801692462"/>
          <c:w val="0.741715643366262"/>
          <c:h val="0.6688564747800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'Tobo batimetria'!$A$5:$A$6</c:f>
              <c:strCache>
                <c:ptCount val="1"/>
                <c:pt idx="0">
                  <c:v>Média Distancia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'Tobo batimetria'!$B$6:$Q$6</c:f>
              <c:numCache>
                <c:formatCode>General</c:formatCode>
                <c:ptCount val="16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</c:numCache>
            </c:numRef>
          </c:xVal>
          <c:yVal>
            <c:numRef>
              <c:f>'Tobo batimetria'!$B$5:$Q$5</c:f>
              <c:numCache>
                <c:formatCode>General</c:formatCode>
                <c:ptCount val="16"/>
                <c:pt idx="0">
                  <c:v>0.133333333333333</c:v>
                </c:pt>
                <c:pt idx="1">
                  <c:v>0.461666666666667</c:v>
                </c:pt>
                <c:pt idx="2">
                  <c:v>0.7</c:v>
                </c:pt>
                <c:pt idx="3">
                  <c:v>0.696666666666667</c:v>
                </c:pt>
                <c:pt idx="4">
                  <c:v>0.756666666666667</c:v>
                </c:pt>
                <c:pt idx="5">
                  <c:v>0.78</c:v>
                </c:pt>
                <c:pt idx="6">
                  <c:v>0.74</c:v>
                </c:pt>
                <c:pt idx="7">
                  <c:v>0.713333333333333</c:v>
                </c:pt>
                <c:pt idx="8">
                  <c:v>0.673333333333333</c:v>
                </c:pt>
                <c:pt idx="9">
                  <c:v>0.686666666666667</c:v>
                </c:pt>
                <c:pt idx="10">
                  <c:v>0.676666666666667</c:v>
                </c:pt>
                <c:pt idx="11">
                  <c:v>0.706666666666667</c:v>
                </c:pt>
                <c:pt idx="12">
                  <c:v>0.68</c:v>
                </c:pt>
                <c:pt idx="13">
                  <c:v>0.62</c:v>
                </c:pt>
                <c:pt idx="14">
                  <c:v>0.58</c:v>
                </c:pt>
                <c:pt idx="15">
                  <c:v>0.5</c:v>
                </c:pt>
              </c:numCache>
            </c:numRef>
          </c:yVal>
          <c:smooth val="1"/>
        </c:ser>
        <c:axId val="71265393"/>
        <c:axId val="48893482"/>
      </c:scatterChart>
      <c:valAx>
        <c:axId val="71265393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Distancia(m)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8893482"/>
        <c:crosses val="autoZero"/>
        <c:crossBetween val="midCat"/>
      </c:valAx>
      <c:valAx>
        <c:axId val="4889348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Lamina de água(m)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1265393"/>
        <c:crossesAt val="0"/>
        <c:crossBetween val="midCat"/>
      </c:valAx>
      <c:spPr>
        <a:noFill/>
        <a:ln w="18000">
          <a:solidFill>
            <a:srgbClr val="000000">
              <a:alpha val="85000"/>
            </a:srgbClr>
          </a:solidFill>
          <a:prstDash val="sysDash"/>
          <a:round/>
        </a:ln>
      </c:spPr>
    </c:plotArea>
    <c:plotVisOnly val="1"/>
    <c:dispBlanksAs val="span"/>
  </c:chart>
  <c:spPr>
    <a:solidFill>
      <a:srgbClr val="ffffff"/>
    </a:solidFill>
    <a:ln w="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6075"/>
          <c:y val="0.0620689655172414"/>
          <c:w val="0.8963125"/>
          <c:h val="0.865850945494994"/>
        </c:manualLayout>
      </c:layout>
      <c:scatterChart>
        <c:scatterStyle val="lineMarker"/>
        <c:varyColors val="0"/>
        <c:ser>
          <c:idx val="0"/>
          <c:order val="0"/>
          <c:tx>
            <c:strRef>
              <c:f>'Micro Molinte Integral'!$B$1</c:f>
              <c:strCache>
                <c:ptCount val="1"/>
                <c:pt idx="0">
                  <c:v>V0 (m)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Integral'!$B$2:$B$5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'Micro Molinte Integral'!$A$2:$A$5</c:f>
              <c:numCache>
                <c:formatCode>General</c:formatCode>
                <c:ptCount val="4"/>
                <c:pt idx="0">
                  <c:v>0.593076923076923</c:v>
                </c:pt>
                <c:pt idx="1">
                  <c:v>0.5</c:v>
                </c:pt>
                <c:pt idx="2">
                  <c:v>0.396</c:v>
                </c:pt>
                <c:pt idx="3">
                  <c:v>0.3375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'Micro Molinte Integral'!$C$1</c:f>
              <c:strCache>
                <c:ptCount val="1"/>
                <c:pt idx="0">
                  <c:v>V1 (m)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Integral'!$C$4:$C$5</c:f>
              <c:numCache>
                <c:formatCode>General</c:formatCode>
                <c:ptCount val="2"/>
                <c:pt idx="0">
                  <c:v>0.0768451435</c:v>
                </c:pt>
                <c:pt idx="1">
                  <c:v>0.055845391</c:v>
                </c:pt>
              </c:numCache>
            </c:numRef>
          </c:xVal>
          <c:yVal>
            <c:numRef>
              <c:f>'Micro Molinte Integral'!$A$4:$A$5</c:f>
              <c:numCache>
                <c:formatCode>General</c:formatCode>
                <c:ptCount val="2"/>
                <c:pt idx="0">
                  <c:v>0.396</c:v>
                </c:pt>
                <c:pt idx="1">
                  <c:v>0.3375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'Micro Molinte Integral'!$D$1</c:f>
              <c:strCache>
                <c:ptCount val="1"/>
                <c:pt idx="0">
                  <c:v>V2 (m)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square"/>
            <c:size val="8"/>
            <c:spPr>
              <a:solidFill>
                <a:srgbClr val="579d1c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Integral'!$D$3:$D$5</c:f>
              <c:numCache>
                <c:formatCode>General</c:formatCode>
                <c:ptCount val="3"/>
                <c:pt idx="0">
                  <c:v>0.509440045</c:v>
                </c:pt>
                <c:pt idx="1">
                  <c:v>0.291042619</c:v>
                </c:pt>
                <c:pt idx="2">
                  <c:v>0.106244797</c:v>
                </c:pt>
              </c:numCache>
            </c:numRef>
          </c:xVal>
          <c:yVal>
            <c:numRef>
              <c:f>'Micro 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0.396</c:v>
                </c:pt>
                <c:pt idx="2">
                  <c:v>0.3375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'Micro Molinte Integral'!$E$1</c:f>
              <c:strCache>
                <c:ptCount val="1"/>
                <c:pt idx="0">
                  <c:v>V3 (m)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Integral'!$E$2:$E$5</c:f>
              <c:numCache>
                <c:formatCode>General</c:formatCode>
                <c:ptCount val="4"/>
                <c:pt idx="0">
                  <c:v>0.736237372</c:v>
                </c:pt>
                <c:pt idx="1">
                  <c:v>0.669038164</c:v>
                </c:pt>
                <c:pt idx="2">
                  <c:v>0.3876414805</c:v>
                </c:pt>
                <c:pt idx="3">
                  <c:v>0.1440443515</c:v>
                </c:pt>
              </c:numCache>
            </c:numRef>
          </c:xVal>
          <c:yVal>
            <c:numRef>
              <c:f>'Micro Molinte Integral'!$A$2:$A$5</c:f>
              <c:numCache>
                <c:formatCode>General</c:formatCode>
                <c:ptCount val="4"/>
                <c:pt idx="0">
                  <c:v>0.593076923076923</c:v>
                </c:pt>
                <c:pt idx="1">
                  <c:v>0.5</c:v>
                </c:pt>
                <c:pt idx="2">
                  <c:v>0.396</c:v>
                </c:pt>
                <c:pt idx="3">
                  <c:v>0.3375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'Micro Molinte Integral'!$F$1</c:f>
              <c:strCache>
                <c:ptCount val="1"/>
                <c:pt idx="0">
                  <c:v>V4 (m)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triangle"/>
            <c:size val="8"/>
            <c:spPr>
              <a:solidFill>
                <a:srgbClr val="579d1c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Integral'!$F$2:$F$5</c:f>
              <c:numCache>
                <c:formatCode>General</c:formatCode>
                <c:ptCount val="4"/>
                <c:pt idx="0">
                  <c:v>0.736237372</c:v>
                </c:pt>
                <c:pt idx="1">
                  <c:v>0.769836976</c:v>
                </c:pt>
                <c:pt idx="2">
                  <c:v>0.5976390055</c:v>
                </c:pt>
                <c:pt idx="3">
                  <c:v>0.366641728</c:v>
                </c:pt>
              </c:numCache>
            </c:numRef>
          </c:xVal>
          <c:yVal>
            <c:numRef>
              <c:f>'Micro Molinte Integral'!$A$2:$A$5</c:f>
              <c:numCache>
                <c:formatCode>General</c:formatCode>
                <c:ptCount val="4"/>
                <c:pt idx="0">
                  <c:v>0.593076923076923</c:v>
                </c:pt>
                <c:pt idx="1">
                  <c:v>0.5</c:v>
                </c:pt>
                <c:pt idx="2">
                  <c:v>0.396</c:v>
                </c:pt>
                <c:pt idx="3">
                  <c:v>0.3375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'Micro Molinte Integral'!$G$1</c:f>
              <c:strCache>
                <c:ptCount val="1"/>
                <c:pt idx="0">
                  <c:v>V5 (m)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triangle"/>
            <c:size val="8"/>
            <c:spPr>
              <a:solidFill>
                <a:srgbClr val="7e0021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Integral'!$G$2:$G$5</c:f>
              <c:numCache>
                <c:formatCode>General</c:formatCode>
                <c:ptCount val="4"/>
                <c:pt idx="0">
                  <c:v>0.727837471</c:v>
                </c:pt>
                <c:pt idx="1">
                  <c:v>0.7908367285</c:v>
                </c:pt>
                <c:pt idx="2">
                  <c:v>0.6648382135</c:v>
                </c:pt>
                <c:pt idx="3">
                  <c:v>0.5388396985</c:v>
                </c:pt>
              </c:numCache>
            </c:numRef>
          </c:xVal>
          <c:yVal>
            <c:numRef>
              <c:f>'Micro Molinte Integral'!$A$2:$A$5</c:f>
              <c:numCache>
                <c:formatCode>General</c:formatCode>
                <c:ptCount val="4"/>
                <c:pt idx="0">
                  <c:v>0.593076923076923</c:v>
                </c:pt>
                <c:pt idx="1">
                  <c:v>0.5</c:v>
                </c:pt>
                <c:pt idx="2">
                  <c:v>0.396</c:v>
                </c:pt>
                <c:pt idx="3">
                  <c:v>0.3375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'Micro Molinte Integral'!$H$1</c:f>
              <c:strCache>
                <c:ptCount val="1"/>
                <c:pt idx="0">
                  <c:v>V6 (m)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triangle"/>
            <c:size val="8"/>
            <c:spPr>
              <a:solidFill>
                <a:srgbClr val="83caff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Integral'!$H$2:$H$5</c:f>
              <c:numCache>
                <c:formatCode>General</c:formatCode>
                <c:ptCount val="4"/>
                <c:pt idx="0">
                  <c:v>0.677438065</c:v>
                </c:pt>
                <c:pt idx="1">
                  <c:v>0.7572371245</c:v>
                </c:pt>
                <c:pt idx="2">
                  <c:v>0.727837471</c:v>
                </c:pt>
                <c:pt idx="3">
                  <c:v>0.610238857</c:v>
                </c:pt>
              </c:numCache>
            </c:numRef>
          </c:xVal>
          <c:yVal>
            <c:numRef>
              <c:f>'Micro Molinte Integral'!$A$2:$A$5</c:f>
              <c:numCache>
                <c:formatCode>General</c:formatCode>
                <c:ptCount val="4"/>
                <c:pt idx="0">
                  <c:v>0.593076923076923</c:v>
                </c:pt>
                <c:pt idx="1">
                  <c:v>0.5</c:v>
                </c:pt>
                <c:pt idx="2">
                  <c:v>0.396</c:v>
                </c:pt>
                <c:pt idx="3">
                  <c:v>0.3375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'Micro Molinte Integral'!$I$1</c:f>
              <c:strCache>
                <c:ptCount val="1"/>
                <c:pt idx="0">
                  <c:v>V7 (m)</c:v>
                </c:pt>
              </c:strCache>
            </c:strRef>
          </c:tx>
          <c:spPr>
            <a:solidFill>
              <a:srgbClr val="314004"/>
            </a:solidFill>
            <a:ln w="28800">
              <a:solidFill>
                <a:srgbClr val="314004"/>
              </a:solidFill>
              <a:round/>
            </a:ln>
          </c:spPr>
          <c:marker>
            <c:symbol val="square"/>
            <c:size val="8"/>
            <c:spPr>
              <a:solidFill>
                <a:srgbClr val="314004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Integral'!$I$2:$I$5</c:f>
              <c:numCache>
                <c:formatCode>General</c:formatCode>
                <c:ptCount val="4"/>
                <c:pt idx="0">
                  <c:v>0.753037174</c:v>
                </c:pt>
                <c:pt idx="1">
                  <c:v>0.786636778</c:v>
                </c:pt>
                <c:pt idx="2">
                  <c:v>0.879035689</c:v>
                </c:pt>
                <c:pt idx="3">
                  <c:v>0.811836481</c:v>
                </c:pt>
              </c:numCache>
            </c:numRef>
          </c:xVal>
          <c:yVal>
            <c:numRef>
              <c:f>'Micro Molinte Integral'!$A$2:$A$5</c:f>
              <c:numCache>
                <c:formatCode>General</c:formatCode>
                <c:ptCount val="4"/>
                <c:pt idx="0">
                  <c:v>0.593076923076923</c:v>
                </c:pt>
                <c:pt idx="1">
                  <c:v>0.5</c:v>
                </c:pt>
                <c:pt idx="2">
                  <c:v>0.396</c:v>
                </c:pt>
                <c:pt idx="3">
                  <c:v>0.3375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'Micro Molinte Integral'!$J$1</c:f>
              <c:strCache>
                <c:ptCount val="1"/>
                <c:pt idx="0">
                  <c:v>V8 (m)</c:v>
                </c:pt>
              </c:strCache>
            </c:strRef>
          </c:tx>
          <c:spPr>
            <a:solidFill>
              <a:srgbClr val="aecf00"/>
            </a:solidFill>
            <a:ln w="28800">
              <a:solidFill>
                <a:srgbClr val="aecf00"/>
              </a:solidFill>
              <a:round/>
            </a:ln>
          </c:spPr>
          <c:marker>
            <c:symbol val="square"/>
            <c:size val="8"/>
            <c:spPr>
              <a:solidFill>
                <a:srgbClr val="aecf00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Integral'!$J$3:$J$5</c:f>
              <c:numCache>
                <c:formatCode>General</c:formatCode>
                <c:ptCount val="3"/>
                <c:pt idx="0">
                  <c:v>0.9084353425</c:v>
                </c:pt>
                <c:pt idx="1">
                  <c:v>1.047033709</c:v>
                </c:pt>
                <c:pt idx="2">
                  <c:v>0.055845391</c:v>
                </c:pt>
              </c:numCache>
            </c:numRef>
          </c:xVal>
          <c:yVal>
            <c:numRef>
              <c:f>'Micro 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0.396</c:v>
                </c:pt>
                <c:pt idx="2">
                  <c:v>0.3375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'Micro Molinte Integral'!$K$1</c:f>
              <c:strCache>
                <c:ptCount val="1"/>
                <c:pt idx="0">
                  <c:v>V9 (m)</c:v>
                </c:pt>
              </c:strCache>
            </c:strRef>
          </c:tx>
          <c:spPr>
            <a:solidFill>
              <a:srgbClr val="4b1f6f"/>
            </a:solidFill>
            <a:ln w="28800">
              <a:solidFill>
                <a:srgbClr val="4b1f6f"/>
              </a:solidFill>
              <a:round/>
            </a:ln>
          </c:spPr>
          <c:marker>
            <c:symbol val="circle"/>
            <c:size val="8"/>
            <c:spPr>
              <a:solidFill>
                <a:srgbClr val="4b1f6f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Integral'!$K$3:$K$5</c:f>
              <c:numCache>
                <c:formatCode>General</c:formatCode>
                <c:ptCount val="3"/>
                <c:pt idx="0">
                  <c:v>1.0932331645</c:v>
                </c:pt>
                <c:pt idx="1">
                  <c:v>1.1352326695</c:v>
                </c:pt>
                <c:pt idx="2">
                  <c:v>1.164632323</c:v>
                </c:pt>
              </c:numCache>
            </c:numRef>
          </c:xVal>
          <c:yVal>
            <c:numRef>
              <c:f>'Micro 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0.396</c:v>
                </c:pt>
                <c:pt idx="2">
                  <c:v>0.3375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'Micro Molinte Integral'!$L$1</c:f>
              <c:strCache>
                <c:ptCount val="1"/>
                <c:pt idx="0">
                  <c:v>V10 (m)</c:v>
                </c:pt>
              </c:strCache>
            </c:strRef>
          </c:tx>
          <c:spPr>
            <a:solidFill>
              <a:srgbClr val="ff950e"/>
            </a:solidFill>
            <a:ln w="28800">
              <a:solidFill>
                <a:srgbClr val="ff950e"/>
              </a:solidFill>
              <a:round/>
            </a:ln>
          </c:spPr>
          <c:marker>
            <c:symbol val="star"/>
            <c:size val="8"/>
            <c:spPr>
              <a:solidFill>
                <a:srgbClr val="ff95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Integral'!$L$3:$L$5</c:f>
              <c:numCache>
                <c:formatCode>General</c:formatCode>
                <c:ptCount val="3"/>
                <c:pt idx="0">
                  <c:v>1.13943262</c:v>
                </c:pt>
                <c:pt idx="1">
                  <c:v>1.1352326695</c:v>
                </c:pt>
                <c:pt idx="2">
                  <c:v>1.114232917</c:v>
                </c:pt>
              </c:numCache>
            </c:numRef>
          </c:xVal>
          <c:yVal>
            <c:numRef>
              <c:f>'Micro 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0.396</c:v>
                </c:pt>
                <c:pt idx="2">
                  <c:v>0.3375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'Micro Molinte Integral'!$M$1</c:f>
              <c:strCache>
                <c:ptCount val="1"/>
                <c:pt idx="0">
                  <c:v>V11 (m)</c:v>
                </c:pt>
              </c:strCache>
            </c:strRef>
          </c:tx>
          <c:spPr>
            <a:solidFill>
              <a:srgbClr val="c5000b"/>
            </a:solidFill>
            <a:ln w="28800">
              <a:solidFill>
                <a:srgbClr val="c5000b"/>
              </a:solidFill>
              <a:round/>
            </a:ln>
          </c:spPr>
          <c:marker>
            <c:symbol val="x"/>
            <c:size val="8"/>
            <c:spPr>
              <a:solidFill>
                <a:srgbClr val="c5000b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Integral'!$M$3:$M$5</c:f>
              <c:numCache>
                <c:formatCode>General</c:formatCode>
                <c:ptCount val="3"/>
                <c:pt idx="0">
                  <c:v>1.0260339565</c:v>
                </c:pt>
                <c:pt idx="1">
                  <c:v>0.954634798</c:v>
                </c:pt>
                <c:pt idx="2">
                  <c:v>0.937834996</c:v>
                </c:pt>
              </c:numCache>
            </c:numRef>
          </c:xVal>
          <c:yVal>
            <c:numRef>
              <c:f>'Micro 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0.396</c:v>
                </c:pt>
                <c:pt idx="2">
                  <c:v>0.3375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'Micro Molinte Integral'!$N$1</c:f>
              <c:strCache>
                <c:ptCount val="1"/>
                <c:pt idx="0">
                  <c:v>V12 (m)</c:v>
                </c:pt>
              </c:strCache>
            </c:strRef>
          </c:tx>
          <c:spPr>
            <a:solidFill>
              <a:srgbClr val="0084d1"/>
            </a:solidFill>
            <a:ln w="28800">
              <a:solidFill>
                <a:srgbClr val="0084d1"/>
              </a:solidFill>
              <a:round/>
            </a:ln>
          </c:spPr>
          <c:marker>
            <c:symbol val="plus"/>
            <c:size val="8"/>
            <c:spPr>
              <a:solidFill>
                <a:srgbClr val="0084d1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Integral'!$N$3:$N$5</c:f>
              <c:numCache>
                <c:formatCode>General</c:formatCode>
                <c:ptCount val="3"/>
                <c:pt idx="0">
                  <c:v>0.8328362335</c:v>
                </c:pt>
                <c:pt idx="1">
                  <c:v>0.811836481</c:v>
                </c:pt>
                <c:pt idx="2">
                  <c:v>0.837036184</c:v>
                </c:pt>
              </c:numCache>
            </c:numRef>
          </c:xVal>
          <c:yVal>
            <c:numRef>
              <c:f>'Micro 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0.396</c:v>
                </c:pt>
                <c:pt idx="2">
                  <c:v>0.3375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'Micro Molinte Integral'!$O$1</c:f>
              <c:strCache>
                <c:ptCount val="1"/>
                <c:pt idx="0">
                  <c:v>V13 (m)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Integral'!$O$3:$O$5</c:f>
              <c:numCache>
                <c:formatCode>General</c:formatCode>
                <c:ptCount val="3"/>
                <c:pt idx="0">
                  <c:v>0.7236375205</c:v>
                </c:pt>
                <c:pt idx="1">
                  <c:v>0.6816380155</c:v>
                </c:pt>
                <c:pt idx="2">
                  <c:v>0.677438065</c:v>
                </c:pt>
              </c:numCache>
            </c:numRef>
          </c:xVal>
          <c:yVal>
            <c:numRef>
              <c:f>'Micro 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0.396</c:v>
                </c:pt>
                <c:pt idx="2">
                  <c:v>0.3375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'Micro Molinte Integral'!$P$1</c:f>
              <c:strCache>
                <c:ptCount val="1"/>
                <c:pt idx="0">
                  <c:v>V14 (m)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ash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Integral'!$P$3:$P$5</c:f>
              <c:numCache>
                <c:formatCode>General</c:formatCode>
                <c:ptCount val="3"/>
                <c:pt idx="0">
                  <c:v>0.5052400945</c:v>
                </c:pt>
                <c:pt idx="1">
                  <c:v>0.6144388075</c:v>
                </c:pt>
                <c:pt idx="2">
                  <c:v>0.694237867</c:v>
                </c:pt>
              </c:numCache>
            </c:numRef>
          </c:xVal>
          <c:yVal>
            <c:numRef>
              <c:f>'Micro 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0.396</c:v>
                </c:pt>
                <c:pt idx="2">
                  <c:v>0.3375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'Micro Molinte Integral'!$Q$1</c:f>
              <c:strCache>
                <c:ptCount val="1"/>
                <c:pt idx="0">
                  <c:v>V15 (m)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square"/>
            <c:size val="8"/>
            <c:spPr>
              <a:solidFill>
                <a:srgbClr val="ffd320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'Micro Molinte Integral'!$Q$2:$Q$5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'Micro Molinte Integral'!$A$2:$A$5</c:f>
              <c:numCache>
                <c:formatCode>General</c:formatCode>
                <c:ptCount val="4"/>
                <c:pt idx="0">
                  <c:v>0.593076923076923</c:v>
                </c:pt>
                <c:pt idx="1">
                  <c:v>0.5</c:v>
                </c:pt>
                <c:pt idx="2">
                  <c:v>0.396</c:v>
                </c:pt>
                <c:pt idx="3">
                  <c:v>0.3375</c:v>
                </c:pt>
              </c:numCache>
            </c:numRef>
          </c:yVal>
          <c:smooth val="1"/>
        </c:ser>
        <c:axId val="51574261"/>
        <c:axId val="97380252"/>
      </c:scatterChart>
      <c:valAx>
        <c:axId val="51574261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7380252"/>
        <c:crosses val="autoZero"/>
        <c:crossBetween val="midCat"/>
      </c:valAx>
      <c:valAx>
        <c:axId val="9738025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1574261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6075"/>
          <c:y val="0.0620689655172414"/>
          <c:w val="0.8963125"/>
          <c:h val="0.865850945494994"/>
        </c:manualLayout>
      </c:layout>
      <c:scatterChart>
        <c:scatterStyle val="lineMarker"/>
        <c:varyColors val="0"/>
        <c:ser>
          <c:idx val="0"/>
          <c:order val="0"/>
          <c:tx>
            <c:strRef>
              <c:f>'Molinte Integral'!$B$1:$B$1</c:f>
              <c:strCache>
                <c:ptCount val="1"/>
                <c:pt idx="0">
                  <c:v>V0 (m)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Integral'!$B$2:$B$5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'Molinte Integral'!$A$2:$A$5</c:f>
              <c:numCache>
                <c:formatCode>General</c:formatCode>
                <c:ptCount val="4"/>
                <c:pt idx="0">
                  <c:v>0.6</c:v>
                </c:pt>
                <c:pt idx="1">
                  <c:v>0.5</c:v>
                </c:pt>
                <c:pt idx="2">
                  <c:v>0.4</c:v>
                </c:pt>
                <c:pt idx="3">
                  <c:v>0.2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'Molinte Integral'!$C$1:$C$1</c:f>
              <c:strCache>
                <c:ptCount val="1"/>
                <c:pt idx="0">
                  <c:v>V1 (m)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Integral'!$C$4:$C$5</c:f>
              <c:numCache>
                <c:formatCode>General</c:formatCode>
                <c:ptCount val="2"/>
                <c:pt idx="0">
                  <c:v>0.0768451435</c:v>
                </c:pt>
                <c:pt idx="1">
                  <c:v>0.055845391</c:v>
                </c:pt>
              </c:numCache>
            </c:numRef>
          </c:xVal>
          <c:yVal>
            <c:numRef>
              <c:f>'Molinte Integral'!$A$4:$A$5</c:f>
              <c:numCache>
                <c:formatCode>General</c:formatCode>
                <c:ptCount val="2"/>
                <c:pt idx="0">
                  <c:v>0.4</c:v>
                </c:pt>
                <c:pt idx="1">
                  <c:v>0.2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'Molinte Integral'!$D$1:$D$1</c:f>
              <c:strCache>
                <c:ptCount val="1"/>
                <c:pt idx="0">
                  <c:v>V2 (m)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square"/>
            <c:size val="8"/>
            <c:spPr>
              <a:solidFill>
                <a:srgbClr val="579d1c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Integral'!$D$3:$D$5</c:f>
              <c:numCache>
                <c:formatCode>General</c:formatCode>
                <c:ptCount val="3"/>
                <c:pt idx="0">
                  <c:v>0.509440045</c:v>
                </c:pt>
                <c:pt idx="1">
                  <c:v>0.291042619</c:v>
                </c:pt>
                <c:pt idx="2">
                  <c:v>0.106244797</c:v>
                </c:pt>
              </c:numCache>
            </c:numRef>
          </c:xVal>
          <c:yVal>
            <c:numRef>
              <c:f>'Molinte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0.4</c:v>
                </c:pt>
                <c:pt idx="2">
                  <c:v>0.2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'Molinte Integral'!$E$1:$E$1</c:f>
              <c:strCache>
                <c:ptCount val="1"/>
                <c:pt idx="0">
                  <c:v>V3 (m)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Integral'!$E$2:$E$5</c:f>
              <c:numCache>
                <c:formatCode>General</c:formatCode>
                <c:ptCount val="4"/>
                <c:pt idx="0">
                  <c:v>0.736237372</c:v>
                </c:pt>
                <c:pt idx="1">
                  <c:v>0.669038164</c:v>
                </c:pt>
                <c:pt idx="2">
                  <c:v>0.3876414805</c:v>
                </c:pt>
                <c:pt idx="3">
                  <c:v>0.1440443515</c:v>
                </c:pt>
              </c:numCache>
            </c:numRef>
          </c:xVal>
          <c:yVal>
            <c:numRef>
              <c:f>'Molinte Integral'!$A$2:$A$5</c:f>
              <c:numCache>
                <c:formatCode>General</c:formatCode>
                <c:ptCount val="4"/>
                <c:pt idx="0">
                  <c:v>0.6</c:v>
                </c:pt>
                <c:pt idx="1">
                  <c:v>0.5</c:v>
                </c:pt>
                <c:pt idx="2">
                  <c:v>0.4</c:v>
                </c:pt>
                <c:pt idx="3">
                  <c:v>0.2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'Molinte Integral'!$F$1:$F$1</c:f>
              <c:strCache>
                <c:ptCount val="1"/>
                <c:pt idx="0">
                  <c:v>V4 (m)</c:v>
                </c:pt>
              </c:strCache>
            </c:strRef>
          </c:tx>
          <c:spPr>
            <a:solidFill>
              <a:srgbClr val="579d1c"/>
            </a:solidFill>
            <a:ln w="28800">
              <a:solidFill>
                <a:srgbClr val="579d1c"/>
              </a:solidFill>
              <a:round/>
            </a:ln>
          </c:spPr>
          <c:marker>
            <c:symbol val="triangle"/>
            <c:size val="8"/>
            <c:spPr>
              <a:solidFill>
                <a:srgbClr val="579d1c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Integral'!$F$2:$F$5</c:f>
              <c:numCache>
                <c:formatCode>General</c:formatCode>
                <c:ptCount val="4"/>
                <c:pt idx="0">
                  <c:v>0.736237372</c:v>
                </c:pt>
                <c:pt idx="1">
                  <c:v>0.769836976</c:v>
                </c:pt>
                <c:pt idx="2">
                  <c:v>0.5976390055</c:v>
                </c:pt>
                <c:pt idx="3">
                  <c:v>0.366641728</c:v>
                </c:pt>
              </c:numCache>
            </c:numRef>
          </c:xVal>
          <c:yVal>
            <c:numRef>
              <c:f>'Molinte Integral'!$A$2:$A$5</c:f>
              <c:numCache>
                <c:formatCode>General</c:formatCode>
                <c:ptCount val="4"/>
                <c:pt idx="0">
                  <c:v>0.6</c:v>
                </c:pt>
                <c:pt idx="1">
                  <c:v>0.5</c:v>
                </c:pt>
                <c:pt idx="2">
                  <c:v>0.4</c:v>
                </c:pt>
                <c:pt idx="3">
                  <c:v>0.2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'Molinte Integral'!$G$1:$G$1</c:f>
              <c:strCache>
                <c:ptCount val="1"/>
                <c:pt idx="0">
                  <c:v>V5 (m)</c:v>
                </c:pt>
              </c:strCache>
            </c:strRef>
          </c:tx>
          <c:spPr>
            <a:solidFill>
              <a:srgbClr val="7e0021"/>
            </a:solidFill>
            <a:ln w="28800">
              <a:solidFill>
                <a:srgbClr val="7e0021"/>
              </a:solidFill>
              <a:round/>
            </a:ln>
          </c:spPr>
          <c:marker>
            <c:symbol val="triangle"/>
            <c:size val="8"/>
            <c:spPr>
              <a:solidFill>
                <a:srgbClr val="7e0021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Integral'!$G$2:$G$5</c:f>
              <c:numCache>
                <c:formatCode>General</c:formatCode>
                <c:ptCount val="4"/>
                <c:pt idx="0">
                  <c:v>0.727837471</c:v>
                </c:pt>
                <c:pt idx="1">
                  <c:v>0.7908367285</c:v>
                </c:pt>
                <c:pt idx="2">
                  <c:v>0.6648382135</c:v>
                </c:pt>
                <c:pt idx="3">
                  <c:v>0.5388396985</c:v>
                </c:pt>
              </c:numCache>
            </c:numRef>
          </c:xVal>
          <c:yVal>
            <c:numRef>
              <c:f>'Molinte Integral'!$A$2:$A$5</c:f>
              <c:numCache>
                <c:formatCode>General</c:formatCode>
                <c:ptCount val="4"/>
                <c:pt idx="0">
                  <c:v>0.6</c:v>
                </c:pt>
                <c:pt idx="1">
                  <c:v>0.5</c:v>
                </c:pt>
                <c:pt idx="2">
                  <c:v>0.4</c:v>
                </c:pt>
                <c:pt idx="3">
                  <c:v>0.2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'Molinte Integral'!$H$1:$H$1</c:f>
              <c:strCache>
                <c:ptCount val="1"/>
                <c:pt idx="0">
                  <c:v>V6 (m)</c:v>
                </c:pt>
              </c:strCache>
            </c:strRef>
          </c:tx>
          <c:spPr>
            <a:solidFill>
              <a:srgbClr val="83caff"/>
            </a:solidFill>
            <a:ln w="28800">
              <a:solidFill>
                <a:srgbClr val="83caff"/>
              </a:solidFill>
              <a:round/>
            </a:ln>
          </c:spPr>
          <c:marker>
            <c:symbol val="triangle"/>
            <c:size val="8"/>
            <c:spPr>
              <a:solidFill>
                <a:srgbClr val="83caff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Integral'!$H$2:$H$5</c:f>
              <c:numCache>
                <c:formatCode>General</c:formatCode>
                <c:ptCount val="4"/>
                <c:pt idx="0">
                  <c:v>0.677438065</c:v>
                </c:pt>
                <c:pt idx="1">
                  <c:v>0.7572371245</c:v>
                </c:pt>
                <c:pt idx="2">
                  <c:v>0.727837471</c:v>
                </c:pt>
                <c:pt idx="3">
                  <c:v>0.610238857</c:v>
                </c:pt>
              </c:numCache>
            </c:numRef>
          </c:xVal>
          <c:yVal>
            <c:numRef>
              <c:f>'Molinte Integral'!$A$2:$A$5</c:f>
              <c:numCache>
                <c:formatCode>General</c:formatCode>
                <c:ptCount val="4"/>
                <c:pt idx="0">
                  <c:v>0.6</c:v>
                </c:pt>
                <c:pt idx="1">
                  <c:v>0.5</c:v>
                </c:pt>
                <c:pt idx="2">
                  <c:v>0.4</c:v>
                </c:pt>
                <c:pt idx="3">
                  <c:v>0.2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'Molinte Integral'!$I$1:$I$1</c:f>
              <c:strCache>
                <c:ptCount val="1"/>
                <c:pt idx="0">
                  <c:v>V7 (m)</c:v>
                </c:pt>
              </c:strCache>
            </c:strRef>
          </c:tx>
          <c:spPr>
            <a:solidFill>
              <a:srgbClr val="314004"/>
            </a:solidFill>
            <a:ln w="28800">
              <a:solidFill>
                <a:srgbClr val="314004"/>
              </a:solidFill>
              <a:round/>
            </a:ln>
          </c:spPr>
          <c:marker>
            <c:symbol val="square"/>
            <c:size val="8"/>
            <c:spPr>
              <a:solidFill>
                <a:srgbClr val="314004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Integral'!$I$2:$I$5</c:f>
              <c:numCache>
                <c:formatCode>General</c:formatCode>
                <c:ptCount val="4"/>
                <c:pt idx="0">
                  <c:v>0.753037174</c:v>
                </c:pt>
                <c:pt idx="1">
                  <c:v>0.786636778</c:v>
                </c:pt>
                <c:pt idx="2">
                  <c:v>0.879035689</c:v>
                </c:pt>
                <c:pt idx="3">
                  <c:v>0.811836481</c:v>
                </c:pt>
              </c:numCache>
            </c:numRef>
          </c:xVal>
          <c:yVal>
            <c:numRef>
              <c:f>'Molinte Integral'!$A$2:$A$5</c:f>
              <c:numCache>
                <c:formatCode>General</c:formatCode>
                <c:ptCount val="4"/>
                <c:pt idx="0">
                  <c:v>0.6</c:v>
                </c:pt>
                <c:pt idx="1">
                  <c:v>0.5</c:v>
                </c:pt>
                <c:pt idx="2">
                  <c:v>0.4</c:v>
                </c:pt>
                <c:pt idx="3">
                  <c:v>0.2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'Molinte Integral'!$J$1:$J$1</c:f>
              <c:strCache>
                <c:ptCount val="1"/>
                <c:pt idx="0">
                  <c:v>V8 (m)</c:v>
                </c:pt>
              </c:strCache>
            </c:strRef>
          </c:tx>
          <c:spPr>
            <a:solidFill>
              <a:srgbClr val="aecf00"/>
            </a:solidFill>
            <a:ln w="28800">
              <a:solidFill>
                <a:srgbClr val="aecf00"/>
              </a:solidFill>
              <a:round/>
            </a:ln>
          </c:spPr>
          <c:marker>
            <c:symbol val="square"/>
            <c:size val="8"/>
            <c:spPr>
              <a:solidFill>
                <a:srgbClr val="aecf00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Integral'!$J$3:$J$5</c:f>
              <c:numCache>
                <c:formatCode>General</c:formatCode>
                <c:ptCount val="3"/>
                <c:pt idx="0">
                  <c:v>0.9084353425</c:v>
                </c:pt>
                <c:pt idx="1">
                  <c:v>1.047033709</c:v>
                </c:pt>
                <c:pt idx="2">
                  <c:v>0.055845391</c:v>
                </c:pt>
              </c:numCache>
            </c:numRef>
          </c:xVal>
          <c:yVal>
            <c:numRef>
              <c:f>'Molinte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0.4</c:v>
                </c:pt>
                <c:pt idx="2">
                  <c:v>0.2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'Molinte Integral'!$K$1:$K$1</c:f>
              <c:strCache>
                <c:ptCount val="1"/>
                <c:pt idx="0">
                  <c:v>V9 (m)</c:v>
                </c:pt>
              </c:strCache>
            </c:strRef>
          </c:tx>
          <c:spPr>
            <a:solidFill>
              <a:srgbClr val="4b1f6f"/>
            </a:solidFill>
            <a:ln w="28800">
              <a:solidFill>
                <a:srgbClr val="4b1f6f"/>
              </a:solidFill>
              <a:round/>
            </a:ln>
          </c:spPr>
          <c:marker>
            <c:symbol val="circle"/>
            <c:size val="8"/>
            <c:spPr>
              <a:solidFill>
                <a:srgbClr val="4b1f6f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Integral'!$K$3:$K$5</c:f>
              <c:numCache>
                <c:formatCode>General</c:formatCode>
                <c:ptCount val="3"/>
                <c:pt idx="0">
                  <c:v>1.0932331645</c:v>
                </c:pt>
                <c:pt idx="1">
                  <c:v>1.1352326695</c:v>
                </c:pt>
                <c:pt idx="2">
                  <c:v>1.164632323</c:v>
                </c:pt>
              </c:numCache>
            </c:numRef>
          </c:xVal>
          <c:yVal>
            <c:numRef>
              <c:f>'Molinte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0.4</c:v>
                </c:pt>
                <c:pt idx="2">
                  <c:v>0.2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'Molinte Integral'!$L$1:$L$1</c:f>
              <c:strCache>
                <c:ptCount val="1"/>
                <c:pt idx="0">
                  <c:v>V10 (m)</c:v>
                </c:pt>
              </c:strCache>
            </c:strRef>
          </c:tx>
          <c:spPr>
            <a:solidFill>
              <a:srgbClr val="ff950e"/>
            </a:solidFill>
            <a:ln w="28800">
              <a:solidFill>
                <a:srgbClr val="ff950e"/>
              </a:solidFill>
              <a:round/>
            </a:ln>
          </c:spPr>
          <c:marker>
            <c:symbol val="star"/>
            <c:size val="8"/>
            <c:spPr>
              <a:solidFill>
                <a:srgbClr val="ff95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Integral'!$L$3:$L$5</c:f>
              <c:numCache>
                <c:formatCode>General</c:formatCode>
                <c:ptCount val="3"/>
                <c:pt idx="0">
                  <c:v>1.13943262</c:v>
                </c:pt>
                <c:pt idx="1">
                  <c:v>1.1352326695</c:v>
                </c:pt>
                <c:pt idx="2">
                  <c:v>1.114232917</c:v>
                </c:pt>
              </c:numCache>
            </c:numRef>
          </c:xVal>
          <c:yVal>
            <c:numRef>
              <c:f>'Molinte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0.4</c:v>
                </c:pt>
                <c:pt idx="2">
                  <c:v>0.2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'Molinte Integral'!$M$1:$M$1</c:f>
              <c:strCache>
                <c:ptCount val="1"/>
                <c:pt idx="0">
                  <c:v>V11 (m)</c:v>
                </c:pt>
              </c:strCache>
            </c:strRef>
          </c:tx>
          <c:spPr>
            <a:solidFill>
              <a:srgbClr val="c5000b"/>
            </a:solidFill>
            <a:ln w="28800">
              <a:solidFill>
                <a:srgbClr val="c5000b"/>
              </a:solidFill>
              <a:round/>
            </a:ln>
          </c:spPr>
          <c:marker>
            <c:symbol val="x"/>
            <c:size val="8"/>
            <c:spPr>
              <a:solidFill>
                <a:srgbClr val="c5000b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Integral'!$M$3:$M$5</c:f>
              <c:numCache>
                <c:formatCode>General</c:formatCode>
                <c:ptCount val="3"/>
                <c:pt idx="0">
                  <c:v>1.0260339565</c:v>
                </c:pt>
                <c:pt idx="1">
                  <c:v>0.954634798</c:v>
                </c:pt>
                <c:pt idx="2">
                  <c:v>0.937834996</c:v>
                </c:pt>
              </c:numCache>
            </c:numRef>
          </c:xVal>
          <c:yVal>
            <c:numRef>
              <c:f>'Molinte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0.4</c:v>
                </c:pt>
                <c:pt idx="2">
                  <c:v>0.2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'Molinte Integral'!$N$1:$N$1</c:f>
              <c:strCache>
                <c:ptCount val="1"/>
                <c:pt idx="0">
                  <c:v>V12 (m)</c:v>
                </c:pt>
              </c:strCache>
            </c:strRef>
          </c:tx>
          <c:spPr>
            <a:solidFill>
              <a:srgbClr val="0084d1"/>
            </a:solidFill>
            <a:ln w="28800">
              <a:solidFill>
                <a:srgbClr val="0084d1"/>
              </a:solidFill>
              <a:round/>
            </a:ln>
          </c:spPr>
          <c:marker>
            <c:symbol val="plus"/>
            <c:size val="8"/>
            <c:spPr>
              <a:solidFill>
                <a:srgbClr val="0084d1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Integral'!$N$3:$N$5</c:f>
              <c:numCache>
                <c:formatCode>General</c:formatCode>
                <c:ptCount val="3"/>
                <c:pt idx="0">
                  <c:v>0.8328362335</c:v>
                </c:pt>
                <c:pt idx="1">
                  <c:v>0.811836481</c:v>
                </c:pt>
                <c:pt idx="2">
                  <c:v>0.837036184</c:v>
                </c:pt>
              </c:numCache>
            </c:numRef>
          </c:xVal>
          <c:yVal>
            <c:numRef>
              <c:f>'Molinte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0.4</c:v>
                </c:pt>
                <c:pt idx="2">
                  <c:v>0.2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'Molinte Integral'!$O$1:$O$1</c:f>
              <c:strCache>
                <c:ptCount val="1"/>
                <c:pt idx="0">
                  <c:v>V13 (m)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Integral'!$O$3:$O$5</c:f>
              <c:numCache>
                <c:formatCode>General</c:formatCode>
                <c:ptCount val="3"/>
                <c:pt idx="0">
                  <c:v>0.7236375205</c:v>
                </c:pt>
                <c:pt idx="1">
                  <c:v>0.6816380155</c:v>
                </c:pt>
                <c:pt idx="2">
                  <c:v>0.677438065</c:v>
                </c:pt>
              </c:numCache>
            </c:numRef>
          </c:xVal>
          <c:yVal>
            <c:numRef>
              <c:f>'Molinte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0.4</c:v>
                </c:pt>
                <c:pt idx="2">
                  <c:v>0.2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'Molinte Integral'!$P$1:$P$1</c:f>
              <c:strCache>
                <c:ptCount val="1"/>
                <c:pt idx="0">
                  <c:v>V14 (m)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ash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Integral'!$P$3:$P$5</c:f>
              <c:numCache>
                <c:formatCode>General</c:formatCode>
                <c:ptCount val="3"/>
                <c:pt idx="0">
                  <c:v>0.5052400945</c:v>
                </c:pt>
                <c:pt idx="1">
                  <c:v>0.6144388075</c:v>
                </c:pt>
                <c:pt idx="2">
                  <c:v>0.694237867</c:v>
                </c:pt>
              </c:numCache>
            </c:numRef>
          </c:xVal>
          <c:yVal>
            <c:numRef>
              <c:f>'Molinte Integral'!$A$3:$A$5</c:f>
              <c:numCache>
                <c:formatCode>General</c:formatCode>
                <c:ptCount val="3"/>
                <c:pt idx="0">
                  <c:v>0.5</c:v>
                </c:pt>
                <c:pt idx="1">
                  <c:v>0.4</c:v>
                </c:pt>
                <c:pt idx="2">
                  <c:v>0.2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'Molinte Integral'!$Q$1:$Q$1</c:f>
              <c:strCache>
                <c:ptCount val="1"/>
                <c:pt idx="0">
                  <c:v>V15 (m)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square"/>
            <c:size val="8"/>
            <c:spPr>
              <a:solidFill>
                <a:srgbClr val="ffd320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'Molinte Integral'!$Q$2:$Q$5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'Molinte Integral'!$A$2:$A$5</c:f>
              <c:numCache>
                <c:formatCode>General</c:formatCode>
                <c:ptCount val="4"/>
                <c:pt idx="0">
                  <c:v>0.6</c:v>
                </c:pt>
                <c:pt idx="1">
                  <c:v>0.5</c:v>
                </c:pt>
                <c:pt idx="2">
                  <c:v>0.4</c:v>
                </c:pt>
                <c:pt idx="3">
                  <c:v>0.2</c:v>
                </c:pt>
              </c:numCache>
            </c:numRef>
          </c:yVal>
          <c:smooth val="1"/>
        </c:ser>
        <c:axId val="77059241"/>
        <c:axId val="11682362"/>
      </c:scatterChart>
      <c:valAx>
        <c:axId val="77059241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1682362"/>
        <c:crosses val="autoZero"/>
        <c:crossBetween val="midCat"/>
      </c:valAx>
      <c:valAx>
        <c:axId val="1168236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7059241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89280</xdr:colOff>
      <xdr:row>7</xdr:row>
      <xdr:rowOff>88560</xdr:rowOff>
    </xdr:from>
    <xdr:to>
      <xdr:col>14</xdr:col>
      <xdr:colOff>156960</xdr:colOff>
      <xdr:row>27</xdr:row>
      <xdr:rowOff>57240</xdr:rowOff>
    </xdr:to>
    <xdr:graphicFrame>
      <xdr:nvGraphicFramePr>
        <xdr:cNvPr id="0" name=""/>
        <xdr:cNvGraphicFramePr/>
      </xdr:nvGraphicFramePr>
      <xdr:xfrm>
        <a:off x="5778720" y="1289880"/>
        <a:ext cx="5757480" cy="3232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58320</xdr:colOff>
      <xdr:row>11</xdr:row>
      <xdr:rowOff>99000</xdr:rowOff>
    </xdr:from>
    <xdr:to>
      <xdr:col>17</xdr:col>
      <xdr:colOff>128520</xdr:colOff>
      <xdr:row>26</xdr:row>
      <xdr:rowOff>95400</xdr:rowOff>
    </xdr:to>
    <xdr:graphicFrame>
      <xdr:nvGraphicFramePr>
        <xdr:cNvPr id="1" name=""/>
        <xdr:cNvGraphicFramePr/>
      </xdr:nvGraphicFramePr>
      <xdr:xfrm>
        <a:off x="8186400" y="6126480"/>
        <a:ext cx="5759640" cy="3236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58320</xdr:colOff>
      <xdr:row>10</xdr:row>
      <xdr:rowOff>477360</xdr:rowOff>
    </xdr:from>
    <xdr:to>
      <xdr:col>17</xdr:col>
      <xdr:colOff>128520</xdr:colOff>
      <xdr:row>30</xdr:row>
      <xdr:rowOff>96480</xdr:rowOff>
    </xdr:to>
    <xdr:graphicFrame>
      <xdr:nvGraphicFramePr>
        <xdr:cNvPr id="2" name=""/>
        <xdr:cNvGraphicFramePr/>
      </xdr:nvGraphicFramePr>
      <xdr:xfrm>
        <a:off x="8186400" y="6126480"/>
        <a:ext cx="5759640" cy="3236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5" activeCellId="1" sqref="AK2:AK7 B5"/>
    </sheetView>
  </sheetViews>
  <sheetFormatPr defaultColWidth="11.53515625" defaultRowHeight="12.8" zeroHeight="false" outlineLevelRow="0" outlineLevelCol="0"/>
  <sheetData>
    <row r="1" customFormat="false" ht="13.8" hidden="false" customHeight="false" outlineLevel="0" collapsed="false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</row>
    <row r="2" customFormat="false" ht="13.8" hidden="false" customHeight="false" outlineLevel="0" collapsed="false">
      <c r="B2" s="3" t="n">
        <v>13</v>
      </c>
      <c r="C2" s="3" t="n">
        <v>45</v>
      </c>
      <c r="D2" s="3" t="n">
        <v>68</v>
      </c>
      <c r="E2" s="3" t="n">
        <v>70</v>
      </c>
      <c r="F2" s="3" t="n">
        <v>73</v>
      </c>
      <c r="G2" s="3" t="n">
        <v>77</v>
      </c>
      <c r="H2" s="3" t="n">
        <v>73</v>
      </c>
      <c r="I2" s="3" t="n">
        <v>70</v>
      </c>
      <c r="J2" s="3" t="n">
        <v>68</v>
      </c>
      <c r="K2" s="3" t="n">
        <v>69</v>
      </c>
      <c r="L2" s="3" t="n">
        <v>68</v>
      </c>
      <c r="M2" s="3" t="n">
        <v>71</v>
      </c>
      <c r="N2" s="3" t="n">
        <v>68</v>
      </c>
      <c r="O2" s="3" t="n">
        <v>63</v>
      </c>
      <c r="P2" s="3" t="n">
        <v>58</v>
      </c>
      <c r="Q2" s="3" t="n">
        <v>50</v>
      </c>
    </row>
    <row r="3" customFormat="false" ht="13.8" hidden="false" customHeight="false" outlineLevel="0" collapsed="false">
      <c r="B3" s="3" t="n">
        <v>13.5</v>
      </c>
      <c r="C3" s="3" t="n">
        <v>47</v>
      </c>
      <c r="D3" s="3" t="n">
        <v>72</v>
      </c>
      <c r="E3" s="3" t="n">
        <v>69</v>
      </c>
      <c r="F3" s="3" t="n">
        <v>75</v>
      </c>
      <c r="G3" s="3" t="n">
        <v>78</v>
      </c>
      <c r="H3" s="3" t="n">
        <v>74</v>
      </c>
      <c r="I3" s="3" t="n">
        <v>72</v>
      </c>
      <c r="J3" s="3" t="n">
        <v>67</v>
      </c>
      <c r="K3" s="3" t="n">
        <v>67</v>
      </c>
      <c r="L3" s="3" t="n">
        <v>68</v>
      </c>
      <c r="M3" s="3" t="n">
        <v>72</v>
      </c>
      <c r="N3" s="3" t="n">
        <v>68</v>
      </c>
      <c r="O3" s="3" t="n">
        <v>62</v>
      </c>
      <c r="P3" s="3" t="n">
        <v>58</v>
      </c>
      <c r="Q3" s="3" t="n">
        <v>50</v>
      </c>
    </row>
    <row r="4" customFormat="false" ht="13.8" hidden="false" customHeight="false" outlineLevel="0" collapsed="false">
      <c r="B4" s="3" t="n">
        <v>13.5</v>
      </c>
      <c r="C4" s="3" t="n">
        <v>46.5</v>
      </c>
      <c r="D4" s="3" t="n">
        <v>70</v>
      </c>
      <c r="E4" s="3" t="n">
        <v>70</v>
      </c>
      <c r="F4" s="3" t="n">
        <v>79</v>
      </c>
      <c r="G4" s="3" t="n">
        <v>79</v>
      </c>
      <c r="H4" s="3" t="n">
        <v>75</v>
      </c>
      <c r="I4" s="3" t="n">
        <v>72</v>
      </c>
      <c r="J4" s="3" t="n">
        <v>67</v>
      </c>
      <c r="K4" s="3" t="n">
        <v>70</v>
      </c>
      <c r="L4" s="3" t="n">
        <v>67</v>
      </c>
      <c r="M4" s="3" t="n">
        <v>69</v>
      </c>
      <c r="N4" s="3" t="n">
        <v>68</v>
      </c>
      <c r="O4" s="3" t="n">
        <v>61</v>
      </c>
      <c r="P4" s="3" t="n">
        <v>58</v>
      </c>
      <c r="Q4" s="3" t="n">
        <v>50</v>
      </c>
    </row>
    <row r="5" customFormat="false" ht="12.8" hidden="false" customHeight="false" outlineLevel="0" collapsed="false">
      <c r="A5" s="2" t="s">
        <v>16</v>
      </c>
      <c r="B5" s="3" t="n">
        <f aca="false">AVERAGE(B2:B4)/100</f>
        <v>0.133333333333333</v>
      </c>
      <c r="C5" s="3" t="n">
        <f aca="false">AVERAGE(C2:C4)/100</f>
        <v>0.461666666666667</v>
      </c>
      <c r="D5" s="3" t="n">
        <f aca="false">AVERAGE(D2:D4)/100</f>
        <v>0.7</v>
      </c>
      <c r="E5" s="3" t="n">
        <f aca="false">AVERAGE(E2:E4)/100</f>
        <v>0.696666666666667</v>
      </c>
      <c r="F5" s="3" t="n">
        <f aca="false">AVERAGE(F2:F4)/100</f>
        <v>0.756666666666667</v>
      </c>
      <c r="G5" s="3" t="n">
        <f aca="false">AVERAGE(G2:G4)/100</f>
        <v>0.78</v>
      </c>
      <c r="H5" s="3" t="n">
        <f aca="false">AVERAGE(H2:H4)/100</f>
        <v>0.74</v>
      </c>
      <c r="I5" s="3" t="n">
        <f aca="false">AVERAGE(I2:I4)/100</f>
        <v>0.713333333333333</v>
      </c>
      <c r="J5" s="3" t="n">
        <f aca="false">AVERAGE(J2:J4)/100</f>
        <v>0.673333333333333</v>
      </c>
      <c r="K5" s="3" t="n">
        <f aca="false">AVERAGE(K2:K4)/100</f>
        <v>0.686666666666667</v>
      </c>
      <c r="L5" s="3" t="n">
        <f aca="false">AVERAGE(L2:L4)/100</f>
        <v>0.676666666666667</v>
      </c>
      <c r="M5" s="3" t="n">
        <f aca="false">AVERAGE(M2:M4)/100</f>
        <v>0.706666666666667</v>
      </c>
      <c r="N5" s="3" t="n">
        <f aca="false">AVERAGE(N2:N4)/100</f>
        <v>0.68</v>
      </c>
      <c r="O5" s="3" t="n">
        <f aca="false">AVERAGE(O2:O4)/100</f>
        <v>0.62</v>
      </c>
      <c r="P5" s="3" t="n">
        <f aca="false">AVERAGE(P2:P4)/100</f>
        <v>0.58</v>
      </c>
      <c r="Q5" s="3" t="n">
        <f aca="false">AVERAGE(Q2:Q4)/100</f>
        <v>0.5</v>
      </c>
    </row>
    <row r="6" customFormat="false" ht="12.8" hidden="false" customHeight="false" outlineLevel="0" collapsed="false">
      <c r="A6" s="2" t="s">
        <v>17</v>
      </c>
      <c r="B6" s="3" t="n">
        <v>0.5</v>
      </c>
      <c r="C6" s="3" t="n">
        <f aca="false">B6+0.5</f>
        <v>1</v>
      </c>
      <c r="D6" s="3" t="n">
        <f aca="false">C6+0.5</f>
        <v>1.5</v>
      </c>
      <c r="E6" s="3" t="n">
        <f aca="false">D6+0.5</f>
        <v>2</v>
      </c>
      <c r="F6" s="3" t="n">
        <f aca="false">E6+0.5</f>
        <v>2.5</v>
      </c>
      <c r="G6" s="3" t="n">
        <f aca="false">F6+0.5</f>
        <v>3</v>
      </c>
      <c r="H6" s="3" t="n">
        <f aca="false">G6+0.5</f>
        <v>3.5</v>
      </c>
      <c r="I6" s="3" t="n">
        <f aca="false">H6+0.5</f>
        <v>4</v>
      </c>
      <c r="J6" s="3" t="n">
        <f aca="false">I6+0.5</f>
        <v>4.5</v>
      </c>
      <c r="K6" s="3" t="n">
        <f aca="false">J6+0.5</f>
        <v>5</v>
      </c>
      <c r="L6" s="3" t="n">
        <f aca="false">K6+0.5</f>
        <v>5.5</v>
      </c>
      <c r="M6" s="3" t="n">
        <f aca="false">L6+0.5</f>
        <v>6</v>
      </c>
      <c r="N6" s="3" t="n">
        <f aca="false">M6+0.5</f>
        <v>6.5</v>
      </c>
      <c r="O6" s="3" t="n">
        <f aca="false">N6+0.5</f>
        <v>7</v>
      </c>
      <c r="P6" s="3" t="n">
        <f aca="false">O6+0.5</f>
        <v>7.5</v>
      </c>
      <c r="Q6" s="3" t="n">
        <f aca="false">P6+0.5</f>
        <v>8</v>
      </c>
    </row>
    <row r="7" customFormat="false" ht="13.8" hidden="false" customHeight="false" outlineLevel="0" collapsed="false">
      <c r="A7" s="2" t="s">
        <v>18</v>
      </c>
      <c r="B7" s="3" t="n">
        <f aca="false">(B5+C5)*(C6-B6)/2</f>
        <v>0.14875</v>
      </c>
      <c r="C7" s="3" t="n">
        <f aca="false">(C5+D5)*(D6-C6)/2</f>
        <v>0.290416666666667</v>
      </c>
      <c r="D7" s="3" t="n">
        <f aca="false">(D5+E5)*(E6-D6)/2</f>
        <v>0.349166666666667</v>
      </c>
      <c r="E7" s="3" t="n">
        <f aca="false">(E5+F5)*(F6-E6)/2</f>
        <v>0.363333333333333</v>
      </c>
      <c r="F7" s="3" t="n">
        <f aca="false">(F5+G5)*(G6-F6)/2</f>
        <v>0.384166666666667</v>
      </c>
      <c r="G7" s="3" t="n">
        <f aca="false">(G5+H5)*(H6-G6)/2</f>
        <v>0.38</v>
      </c>
      <c r="H7" s="3" t="n">
        <f aca="false">(H5+I5)*(I6-H6)/2</f>
        <v>0.363333333333333</v>
      </c>
      <c r="I7" s="3" t="n">
        <f aca="false">(I5+J5)*(J6-I6)/2</f>
        <v>0.346666666666667</v>
      </c>
      <c r="J7" s="3" t="n">
        <f aca="false">(J5+K5)*(K6-J6)/2</f>
        <v>0.34</v>
      </c>
      <c r="K7" s="3" t="n">
        <f aca="false">(K5+L5)*(L6-K6)/2</f>
        <v>0.340833333333333</v>
      </c>
      <c r="L7" s="3" t="n">
        <f aca="false">(L5+M5)*(M6-L6)/2</f>
        <v>0.345833333333333</v>
      </c>
      <c r="M7" s="3" t="n">
        <f aca="false">(M5+N5)*(N6-M6)/2</f>
        <v>0.346666666666667</v>
      </c>
      <c r="N7" s="3" t="n">
        <f aca="false">(N5+O5)*(O6-N6)/2</f>
        <v>0.325</v>
      </c>
      <c r="O7" s="3" t="n">
        <f aca="false">(O5+P5)*(P6-O6)/2</f>
        <v>0.3</v>
      </c>
      <c r="P7" s="3" t="n">
        <f aca="false">(P5+Q5)*(Q6-P6)/2</f>
        <v>0.27</v>
      </c>
      <c r="Q7" s="3"/>
    </row>
    <row r="17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Roman,Normal"&amp;12&amp;Kffffff&amp;A</oddHeader>
    <oddFooter>&amp;C&amp;"Times New Roman,Normal"&amp;12&amp;KffffffPágina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Q29"/>
  <sheetViews>
    <sheetView showFormulas="false" showGridLines="true" showRowColHeaders="true" showZeros="true" rightToLeft="false" tabSelected="false" showOutlineSymbols="true" defaultGridColor="true" view="normal" topLeftCell="Q1" colorId="64" zoomScale="85" zoomScaleNormal="85" zoomScalePageLayoutView="100" workbookViewId="0">
      <selection pane="topLeft" activeCell="S2" activeCellId="1" sqref="AK2:AK7 S2"/>
    </sheetView>
  </sheetViews>
  <sheetFormatPr defaultColWidth="8.6796875" defaultRowHeight="15" zeroHeight="false" outlineLevelRow="0" outlineLevelCol="0"/>
  <cols>
    <col collapsed="false" customWidth="true" hidden="false" outlineLevel="0" max="1" min="1" style="4" width="24.2"/>
    <col collapsed="false" customWidth="true" hidden="false" outlineLevel="0" max="16" min="16" style="4" width="11.82"/>
    <col collapsed="false" customWidth="true" hidden="false" outlineLevel="0" max="18" min="18" style="4" width="14.46"/>
  </cols>
  <sheetData>
    <row r="1" customFormat="false" ht="41" hidden="false" customHeight="true" outlineLevel="0" collapsed="false">
      <c r="A1" s="5" t="s">
        <v>19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6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R1" s="4" t="s">
        <v>20</v>
      </c>
      <c r="S1" s="6" t="s">
        <v>0</v>
      </c>
      <c r="T1" s="6" t="s">
        <v>1</v>
      </c>
      <c r="U1" s="6" t="s">
        <v>2</v>
      </c>
      <c r="V1" s="6" t="s">
        <v>3</v>
      </c>
      <c r="W1" s="6" t="s">
        <v>4</v>
      </c>
      <c r="X1" s="6" t="s">
        <v>5</v>
      </c>
      <c r="Y1" s="6" t="s">
        <v>6</v>
      </c>
      <c r="Z1" s="6" t="s">
        <v>7</v>
      </c>
      <c r="AA1" s="6" t="s">
        <v>8</v>
      </c>
      <c r="AB1" s="6" t="s">
        <v>9</v>
      </c>
      <c r="AC1" s="6" t="s">
        <v>10</v>
      </c>
      <c r="AD1" s="6" t="s">
        <v>11</v>
      </c>
      <c r="AE1" s="6" t="s">
        <v>12</v>
      </c>
      <c r="AF1" s="6" t="s">
        <v>13</v>
      </c>
      <c r="AG1" s="6" t="s">
        <v>14</v>
      </c>
      <c r="AI1" s="7"/>
      <c r="AJ1" s="8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BA1" s="9"/>
      <c r="BB1" s="10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</row>
    <row r="2" customFormat="false" ht="43.25" hidden="false" customHeight="true" outlineLevel="0" collapsed="false">
      <c r="A2" s="6" t="s">
        <v>21</v>
      </c>
      <c r="B2" s="5" t="n">
        <v>0</v>
      </c>
      <c r="C2" s="11" t="s">
        <v>22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27</v>
      </c>
      <c r="I2" s="11" t="s">
        <v>28</v>
      </c>
      <c r="J2" s="11" t="s">
        <v>29</v>
      </c>
      <c r="K2" s="11" t="s">
        <v>30</v>
      </c>
      <c r="L2" s="11" t="s">
        <v>31</v>
      </c>
      <c r="M2" s="11" t="s">
        <v>32</v>
      </c>
      <c r="N2" s="11" t="s">
        <v>33</v>
      </c>
      <c r="O2" s="11" t="s">
        <v>34</v>
      </c>
      <c r="P2" s="11" t="s">
        <v>35</v>
      </c>
      <c r="R2" s="6" t="s">
        <v>21</v>
      </c>
      <c r="S2" s="3" t="n">
        <v>0</v>
      </c>
      <c r="T2" s="12" t="n">
        <f aca="false">0.02681652 + (0.2643411*(C9/30))</f>
        <v>0.08849611</v>
      </c>
      <c r="U2" s="12" t="n">
        <f aca="false">0.02681652 + (0.2643411*(D9/30))</f>
        <v>0.135490083333333</v>
      </c>
      <c r="V2" s="12" t="n">
        <f aca="false">0.02681652 + (0.2643411*(E9/30))</f>
        <v>0.08849611</v>
      </c>
      <c r="W2" s="12" t="n">
        <f aca="false">0.02681652 + (0.2643411*(F9/30))</f>
        <v>0.52906461</v>
      </c>
      <c r="X2" s="12" t="n">
        <f aca="false">0.02681652 + (0.2643411*(G9/30))</f>
        <v>0.33521447</v>
      </c>
      <c r="Y2" s="12" t="n">
        <f aca="false">0.02681652 + (0.2643411*(H9/30))</f>
        <v>0.70529201</v>
      </c>
      <c r="Z2" s="12" t="n">
        <f aca="false">0.02681652 + (0.2643411*(I9/30))</f>
        <v>0.80221708</v>
      </c>
      <c r="AA2" s="12" t="n">
        <f aca="false">0.02681652 + (0.2643411*(J9/30))</f>
        <v>0.02681652</v>
      </c>
      <c r="AB2" s="12" t="n">
        <f aca="false">0.02681652 + (0.2643411*(K9/30))</f>
        <v>0.74053749</v>
      </c>
      <c r="AC2" s="12" t="n">
        <f aca="false">0.02681652 + (0.2643411*(L9/30))</f>
        <v>0.83746256</v>
      </c>
      <c r="AD2" s="12" t="n">
        <f aca="false">0.02681652 + (0.2643411*(M9/30))</f>
        <v>0.72291475</v>
      </c>
      <c r="AE2" s="12" t="n">
        <f aca="false">0.02681652 + (0.2643411*(N9/30))</f>
        <v>0.47619639</v>
      </c>
      <c r="AF2" s="12" t="n">
        <f aca="false">0.02681652 + (0.2643411*(O9/30))</f>
        <v>0.6788579</v>
      </c>
      <c r="AG2" s="12" t="n">
        <f aca="false">0.02681652 + (0.2643411*(P9/30))</f>
        <v>0.54668735</v>
      </c>
      <c r="AI2" s="8"/>
      <c r="AJ2" s="8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BA2" s="10"/>
      <c r="BB2" s="10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</row>
    <row r="3" customFormat="false" ht="60.4" hidden="false" customHeight="true" outlineLevel="0" collapsed="false">
      <c r="A3" s="6" t="s">
        <v>36</v>
      </c>
      <c r="B3" s="5" t="n">
        <v>0</v>
      </c>
      <c r="C3" s="11" t="s">
        <v>37</v>
      </c>
      <c r="D3" s="11" t="s">
        <v>38</v>
      </c>
      <c r="E3" s="11" t="s">
        <v>39</v>
      </c>
      <c r="F3" s="11" t="s">
        <v>40</v>
      </c>
      <c r="G3" s="11" t="s">
        <v>41</v>
      </c>
      <c r="H3" s="11" t="s">
        <v>42</v>
      </c>
      <c r="I3" s="11" t="s">
        <v>43</v>
      </c>
      <c r="J3" s="11" t="s">
        <v>44</v>
      </c>
      <c r="K3" s="11" t="s">
        <v>45</v>
      </c>
      <c r="L3" s="11" t="s">
        <v>46</v>
      </c>
      <c r="M3" s="11" t="s">
        <v>47</v>
      </c>
      <c r="N3" s="11" t="s">
        <v>48</v>
      </c>
      <c r="O3" s="11" t="s">
        <v>49</v>
      </c>
      <c r="P3" s="11" t="s">
        <v>50</v>
      </c>
      <c r="R3" s="6" t="s">
        <v>36</v>
      </c>
      <c r="S3" s="3" t="n">
        <v>0</v>
      </c>
      <c r="T3" s="12" t="n">
        <f aca="false">0.02681652 + (0.2643411*(C10/30))</f>
        <v>0.0855589866666667</v>
      </c>
      <c r="U3" s="12" t="n">
        <f aca="false">0.02681652 + (0.2643411*(D10/30))</f>
        <v>0.17660981</v>
      </c>
      <c r="V3" s="12" t="n">
        <f aca="false">0.02681652 + (0.2643411*(E10/30))</f>
        <v>0.28234625</v>
      </c>
      <c r="W3" s="12" t="n">
        <f aca="false">0.02681652 + (0.2643411*(F10/30))</f>
        <v>0.58193283</v>
      </c>
      <c r="X3" s="12" t="n">
        <f aca="false">0.02681652 + (0.2643411*(G10/30))</f>
        <v>0.74053749</v>
      </c>
      <c r="Y3" s="12" t="n">
        <f aca="false">0.02681652 + (0.2643411*(H10/30))</f>
        <v>0.72291475</v>
      </c>
      <c r="Z3" s="12" t="n">
        <f aca="false">0.02681652 + (0.2643411*(I10/30))</f>
        <v>0.89914215</v>
      </c>
      <c r="AA3" s="12" t="n">
        <f aca="false">0.02681652 + (0.2643411*(J10/30))</f>
        <v>1.06655818</v>
      </c>
      <c r="AB3" s="12" t="n">
        <f aca="false">0.02681652 + (0.2643411*(K10/30))</f>
        <v>0.89914215</v>
      </c>
      <c r="AC3" s="12" t="n">
        <f aca="false">0.02681652 + (0.2643411*(L10/30))</f>
        <v>0.98725585</v>
      </c>
      <c r="AD3" s="12" t="n">
        <f aca="false">0.02681652 + (0.2643411*(M10/30))</f>
        <v>0.7669716</v>
      </c>
      <c r="AE3" s="12" t="n">
        <f aca="false">0.02681652 + (0.2643411*(N10/30))</f>
        <v>0.52025324</v>
      </c>
      <c r="AF3" s="12" t="n">
        <f aca="false">0.02681652 + (0.2643411*(O10/30))</f>
        <v>0.68766927</v>
      </c>
      <c r="AG3" s="12" t="n">
        <f aca="false">0.02681652 + (0.2643411*(P10/30))</f>
        <v>0.53787598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</row>
    <row r="4" customFormat="false" ht="48.5" hidden="false" customHeight="true" outlineLevel="0" collapsed="false">
      <c r="A4" s="6" t="s">
        <v>51</v>
      </c>
      <c r="B4" s="5" t="n">
        <v>0</v>
      </c>
      <c r="C4" s="11" t="s">
        <v>52</v>
      </c>
      <c r="D4" s="11" t="s">
        <v>53</v>
      </c>
      <c r="E4" s="11" t="s">
        <v>54</v>
      </c>
      <c r="F4" s="11" t="s">
        <v>54</v>
      </c>
      <c r="G4" s="11" t="s">
        <v>54</v>
      </c>
      <c r="H4" s="11" t="s">
        <v>54</v>
      </c>
      <c r="I4" s="11" t="s">
        <v>54</v>
      </c>
      <c r="J4" s="11" t="s">
        <v>54</v>
      </c>
      <c r="K4" s="11" t="s">
        <v>54</v>
      </c>
      <c r="L4" s="11" t="s">
        <v>54</v>
      </c>
      <c r="M4" s="11" t="s">
        <v>54</v>
      </c>
      <c r="N4" s="11" t="s">
        <v>54</v>
      </c>
      <c r="O4" s="11" t="s">
        <v>55</v>
      </c>
      <c r="P4" s="11" t="s">
        <v>56</v>
      </c>
      <c r="R4" s="6" t="s">
        <v>51</v>
      </c>
      <c r="S4" s="3" t="n">
        <v>0</v>
      </c>
      <c r="T4" s="12" t="n">
        <f aca="false">0.02681652 + (0.2643411*(C11/30))</f>
        <v>0.0943703566666667</v>
      </c>
      <c r="U4" s="12" t="n">
        <f aca="false">0.02681652 + (0.2643411*(D11/30))</f>
        <v>0.294094743333333</v>
      </c>
      <c r="V4" s="12" t="s">
        <v>54</v>
      </c>
      <c r="W4" s="12" t="s">
        <v>54</v>
      </c>
      <c r="X4" s="12" t="s">
        <v>54</v>
      </c>
      <c r="Y4" s="12" t="s">
        <v>54</v>
      </c>
      <c r="Z4" s="12" t="s">
        <v>54</v>
      </c>
      <c r="AA4" s="12" t="s">
        <v>54</v>
      </c>
      <c r="AB4" s="12" t="e">
        <f aca="false">0.02681652 + (0.2643411*(K11/30))</f>
        <v>#VALUE!</v>
      </c>
      <c r="AC4" s="12" t="e">
        <f aca="false">0.02681652 + (0.2643411*(L11/30))</f>
        <v>#VALUE!</v>
      </c>
      <c r="AD4" s="12" t="e">
        <f aca="false">0.02681652 + (0.2643411*(M11/30))</f>
        <v>#VALUE!</v>
      </c>
      <c r="AE4" s="12" t="e">
        <f aca="false">0.02681652 + (0.2643411*(N11/30))</f>
        <v>#VALUE!</v>
      </c>
      <c r="AF4" s="12" t="n">
        <f aca="false">0.02681652 + (0.2643411*(O11/30))</f>
        <v>0.68766927</v>
      </c>
      <c r="AG4" s="12" t="n">
        <f aca="false">0.02681652 + (0.2643411*(P11/30))</f>
        <v>0.40570543</v>
      </c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</row>
    <row r="5" customFormat="false" ht="47" hidden="false" customHeight="true" outlineLevel="0" collapsed="false">
      <c r="A5" s="6" t="s">
        <v>57</v>
      </c>
      <c r="B5" s="5" t="n">
        <v>0</v>
      </c>
      <c r="C5" s="11" t="s">
        <v>58</v>
      </c>
      <c r="D5" s="11" t="s">
        <v>59</v>
      </c>
      <c r="E5" s="11" t="s">
        <v>60</v>
      </c>
      <c r="F5" s="11" t="s">
        <v>54</v>
      </c>
      <c r="G5" s="11" t="s">
        <v>54</v>
      </c>
      <c r="H5" s="11" t="s">
        <v>61</v>
      </c>
      <c r="I5" s="11" t="s">
        <v>62</v>
      </c>
      <c r="J5" s="11" t="s">
        <v>63</v>
      </c>
      <c r="K5" s="11" t="s">
        <v>64</v>
      </c>
      <c r="L5" s="11" t="s">
        <v>65</v>
      </c>
      <c r="M5" s="11" t="s">
        <v>66</v>
      </c>
      <c r="N5" s="11" t="s">
        <v>67</v>
      </c>
      <c r="O5" s="11" t="s">
        <v>54</v>
      </c>
      <c r="P5" s="11" t="s">
        <v>54</v>
      </c>
      <c r="R5" s="6" t="s">
        <v>57</v>
      </c>
      <c r="S5" s="3" t="n">
        <v>0</v>
      </c>
      <c r="T5" s="12" t="n">
        <f aca="false">0.02681652 + (0.2643411*(C12/30))</f>
        <v>0.109055973333333</v>
      </c>
      <c r="U5" s="12" t="n">
        <f aca="false">0.02681652 + (0.2643411*(D12/30))</f>
        <v>0.382208443333333</v>
      </c>
      <c r="V5" s="12" t="n">
        <f aca="false">0.02681652 + (0.2643411*(E12/30))</f>
        <v>0.45857365</v>
      </c>
      <c r="W5" s="12" t="e">
        <f aca="false">0.02681652 + (0.2643411*(F12/30))</f>
        <v>#VALUE!</v>
      </c>
      <c r="X5" s="12" t="e">
        <f aca="false">0.02681652 + (0.2643411*(G12/30))</f>
        <v>#VALUE!</v>
      </c>
      <c r="Y5" s="12" t="n">
        <f aca="false">0.02681652 + (0.2643411*(H12/30))</f>
        <v>0.81102845</v>
      </c>
      <c r="Z5" s="12" t="n">
        <f aca="false">0.02681652 + (0.2643411*(I12/30))</f>
        <v>0.87270804</v>
      </c>
      <c r="AA5" s="12" t="n">
        <f aca="false">0.02681652 + (0.2643411*(J12/30))</f>
        <v>1.01368996</v>
      </c>
      <c r="AB5" s="12" t="n">
        <f aca="false">0.02681652 + (0.2643411*(K12/30))</f>
        <v>1.18110599</v>
      </c>
      <c r="AC5" s="12" t="n">
        <f aca="false">0.02681652 + (0.2643411*(L12/30))</f>
        <v>1.13704914</v>
      </c>
      <c r="AD5" s="12" t="n">
        <f aca="false">0.02681652 + (0.2643411*(M12/30))</f>
        <v>1.00487859</v>
      </c>
      <c r="AE5" s="12" t="n">
        <f aca="false">0.02681652 + (0.2643411*(N12/30))</f>
        <v>0.65242379</v>
      </c>
      <c r="AF5" s="12" t="e">
        <f aca="false">0.02681652 + (0.2643411*(O12/30))</f>
        <v>#VALUE!</v>
      </c>
      <c r="AG5" s="12" t="e">
        <f aca="false">0.02681652 + (0.2643411*(P12/30))</f>
        <v>#VALUE!</v>
      </c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</row>
    <row r="6" customFormat="false" ht="44" hidden="false" customHeight="true" outlineLevel="0" collapsed="false">
      <c r="A6" s="6" t="s">
        <v>68</v>
      </c>
      <c r="B6" s="5" t="n">
        <v>0</v>
      </c>
      <c r="C6" s="11" t="s">
        <v>54</v>
      </c>
      <c r="D6" s="11" t="s">
        <v>69</v>
      </c>
      <c r="E6" s="11" t="s">
        <v>54</v>
      </c>
      <c r="F6" s="11" t="s">
        <v>70</v>
      </c>
      <c r="G6" s="11" t="s">
        <v>71</v>
      </c>
      <c r="H6" s="11" t="s">
        <v>54</v>
      </c>
      <c r="I6" s="11" t="s">
        <v>54</v>
      </c>
      <c r="J6" s="11" t="s">
        <v>54</v>
      </c>
      <c r="K6" s="11" t="s">
        <v>54</v>
      </c>
      <c r="L6" s="11" t="s">
        <v>54</v>
      </c>
      <c r="M6" s="11" t="s">
        <v>54</v>
      </c>
      <c r="N6" s="11" t="s">
        <v>54</v>
      </c>
      <c r="O6" s="11" t="s">
        <v>54</v>
      </c>
      <c r="P6" s="11" t="s">
        <v>54</v>
      </c>
      <c r="R6" s="6" t="s">
        <v>68</v>
      </c>
      <c r="S6" s="3" t="n">
        <v>0</v>
      </c>
      <c r="T6" s="12" t="e">
        <f aca="false">0.02681652 + (0.2643411*(C13/30))</f>
        <v>#VALUE!</v>
      </c>
      <c r="U6" s="12" t="n">
        <f aca="false">0.02681652 + (0.2643411*(D13/30))</f>
        <v>0.508504746666667</v>
      </c>
      <c r="V6" s="12" t="e">
        <f aca="false">0.02681652 + (0.2643411*(E13/30))</f>
        <v>#VALUE!</v>
      </c>
      <c r="W6" s="12" t="n">
        <f aca="false">0.02681652 + (0.2643411*(F13/30))</f>
        <v>0.81102845</v>
      </c>
      <c r="X6" s="12" t="n">
        <f aca="false">0.02681652 + (0.2643411*(G13/30))</f>
        <v>0.81983982</v>
      </c>
      <c r="Y6" s="12" t="e">
        <f aca="false">0.02681652 + (0.2643411*(H13/30))</f>
        <v>#VALUE!</v>
      </c>
      <c r="Z6" s="12" t="e">
        <f aca="false">0.02681652 + (0.2643411*(I13/30))</f>
        <v>#VALUE!</v>
      </c>
      <c r="AA6" s="12" t="e">
        <f aca="false">0.02681652 + (0.2643411*(J13/30))</f>
        <v>#VALUE!</v>
      </c>
      <c r="AB6" s="12" t="e">
        <f aca="false">0.02681652 + (0.2643411*(K13/30))</f>
        <v>#VALUE!</v>
      </c>
      <c r="AC6" s="12" t="e">
        <f aca="false">0.02681652 + (0.2643411*(L13/30))</f>
        <v>#VALUE!</v>
      </c>
      <c r="AD6" s="12" t="e">
        <f aca="false">0.02681652 + (0.2643411*(M13/30))</f>
        <v>#VALUE!</v>
      </c>
      <c r="AE6" s="12" t="e">
        <f aca="false">0.02681652 + (0.2643411*(N13/30))</f>
        <v>#VALUE!</v>
      </c>
      <c r="AF6" s="12" t="e">
        <f aca="false">0.02681652 + (0.2643411*(O13/30))</f>
        <v>#VALUE!</v>
      </c>
      <c r="AG6" s="12" t="e">
        <f aca="false">0.02681652 + (0.2643411*(P13/30))</f>
        <v>#VALUE!</v>
      </c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</row>
    <row r="7" customFormat="false" ht="47.75" hidden="false" customHeight="true" outlineLevel="0" collapsed="false">
      <c r="A7" s="6" t="s">
        <v>72</v>
      </c>
      <c r="B7" s="5" t="n">
        <v>0</v>
      </c>
      <c r="C7" s="11" t="s">
        <v>54</v>
      </c>
      <c r="D7" s="11" t="s">
        <v>73</v>
      </c>
      <c r="E7" s="11" t="s">
        <v>74</v>
      </c>
      <c r="F7" s="11" t="s">
        <v>75</v>
      </c>
      <c r="G7" s="11" t="s">
        <v>75</v>
      </c>
      <c r="H7" s="11" t="s">
        <v>76</v>
      </c>
      <c r="I7" s="11" t="s">
        <v>77</v>
      </c>
      <c r="J7" s="11" t="s">
        <v>78</v>
      </c>
      <c r="K7" s="11" t="s">
        <v>79</v>
      </c>
      <c r="L7" s="11" t="s">
        <v>80</v>
      </c>
      <c r="M7" s="11" t="s">
        <v>81</v>
      </c>
      <c r="N7" s="11" t="s">
        <v>82</v>
      </c>
      <c r="O7" s="11" t="s">
        <v>83</v>
      </c>
      <c r="P7" s="11" t="s">
        <v>84</v>
      </c>
      <c r="R7" s="6" t="s">
        <v>72</v>
      </c>
      <c r="S7" s="3" t="n">
        <v>0</v>
      </c>
      <c r="T7" s="12" t="e">
        <f aca="false">0.02681652 + (0.2643411*(C14/30))</f>
        <v>#VALUE!</v>
      </c>
      <c r="U7" s="12" t="n">
        <f aca="false">0.02681652 + (0.2643411*(D14/30))</f>
        <v>0.57312146</v>
      </c>
      <c r="V7" s="12" t="n">
        <f aca="false">0.02681652 + (0.2643411*(E14/30))</f>
        <v>0.83746256</v>
      </c>
      <c r="W7" s="12" t="n">
        <f aca="false">0.02681652 + (0.2643411*(F14/30))</f>
        <v>0.83746256</v>
      </c>
      <c r="X7" s="12" t="n">
        <f aca="false">0.02681652 + (0.2643411*(G14/30))</f>
        <v>0.83746256</v>
      </c>
      <c r="Y7" s="12" t="n">
        <f aca="false">0.02681652 + (0.2643411*(H14/30))</f>
        <v>0.77578297</v>
      </c>
      <c r="Z7" s="12" t="n">
        <f aca="false">0.02681652 + (0.2643411*(I14/30))</f>
        <v>0.8550853</v>
      </c>
      <c r="AA7" s="12" t="n">
        <f aca="false">0.02681652 + (0.2643411*(J14/30))</f>
        <v>0.96082174</v>
      </c>
      <c r="AB7" s="12" t="n">
        <f aca="false">0.02681652 + (0.2643411*(K14/30))</f>
        <v>1.11061503</v>
      </c>
      <c r="AC7" s="12" t="n">
        <f aca="false">0.02681652 + (0.2643411*(L14/30))</f>
        <v>1.18110599</v>
      </c>
      <c r="AD7" s="12" t="n">
        <f aca="false">0.02681652 + (0.2643411*(M14/30))</f>
        <v>0.99606722</v>
      </c>
      <c r="AE7" s="12" t="n">
        <f aca="false">0.02681652 + (0.2643411*(N14/30))</f>
        <v>0.6788579</v>
      </c>
      <c r="AF7" s="12" t="n">
        <f aca="false">0.02681652 + (0.2643411*(O14/30))</f>
        <v>0.69648064</v>
      </c>
      <c r="AG7" s="12" t="n">
        <f aca="false">0.02681652 + (0.2643411*(P14/30))</f>
        <v>0.3264031</v>
      </c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</row>
    <row r="8" customFormat="false" ht="13.8" hidden="false" customHeight="false" outlineLevel="0" collapsed="false">
      <c r="A8" s="4" t="s">
        <v>85</v>
      </c>
      <c r="AI8" s="8" t="s">
        <v>86</v>
      </c>
    </row>
    <row r="9" customFormat="false" ht="49.25" hidden="false" customHeight="true" outlineLevel="0" collapsed="false">
      <c r="A9" s="6" t="s">
        <v>21</v>
      </c>
      <c r="B9" s="3" t="n">
        <v>0</v>
      </c>
      <c r="C9" s="3" t="n">
        <f aca="false">(9+6+6)/3</f>
        <v>7</v>
      </c>
      <c r="D9" s="3" t="n">
        <f aca="false">(18+10+9)/3</f>
        <v>12.3333333333333</v>
      </c>
      <c r="E9" s="3" t="n">
        <v>7</v>
      </c>
      <c r="F9" s="3" t="n">
        <v>57</v>
      </c>
      <c r="G9" s="3" t="n">
        <v>35</v>
      </c>
      <c r="H9" s="3" t="n">
        <v>77</v>
      </c>
      <c r="I9" s="3" t="n">
        <v>88</v>
      </c>
      <c r="J9" s="3" t="n">
        <v>0</v>
      </c>
      <c r="K9" s="3" t="n">
        <v>81</v>
      </c>
      <c r="L9" s="3" t="n">
        <v>92</v>
      </c>
      <c r="M9" s="3" t="n">
        <v>79</v>
      </c>
      <c r="N9" s="13" t="n">
        <v>51</v>
      </c>
      <c r="O9" s="13" t="n">
        <v>74</v>
      </c>
      <c r="P9" s="13" t="n">
        <v>59</v>
      </c>
      <c r="Q9" s="3"/>
      <c r="R9" s="6" t="s">
        <v>21</v>
      </c>
      <c r="S9" s="3" t="n">
        <v>0</v>
      </c>
      <c r="T9" s="3" t="n">
        <v>0.08849611</v>
      </c>
      <c r="U9" s="3" t="n">
        <v>0.135490083333333</v>
      </c>
      <c r="V9" s="3" t="n">
        <v>0.08849611</v>
      </c>
      <c r="W9" s="3" t="n">
        <v>0.52906461</v>
      </c>
      <c r="X9" s="3" t="n">
        <v>0.33521447</v>
      </c>
      <c r="Y9" s="3" t="n">
        <v>0.70529201</v>
      </c>
      <c r="Z9" s="3" t="n">
        <v>0.80221708</v>
      </c>
      <c r="AA9" s="3" t="n">
        <v>0.02681652</v>
      </c>
      <c r="AB9" s="3" t="n">
        <v>0.74053749</v>
      </c>
      <c r="AC9" s="3" t="n">
        <v>0.83746256</v>
      </c>
      <c r="AD9" s="3" t="n">
        <v>0.72291475</v>
      </c>
      <c r="AE9" s="3" t="n">
        <v>0.47619639</v>
      </c>
      <c r="AF9" s="3" t="n">
        <v>0.6788579</v>
      </c>
      <c r="AG9" s="3" t="n">
        <v>0.54668735</v>
      </c>
      <c r="AH9" s="3" t="n">
        <v>0</v>
      </c>
      <c r="AI9" s="12" t="n">
        <v>0.1</v>
      </c>
      <c r="AK9" s="9"/>
      <c r="AL9" s="10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</row>
    <row r="10" customFormat="false" ht="55.95" hidden="false" customHeight="true" outlineLevel="0" collapsed="false">
      <c r="A10" s="6" t="s">
        <v>36</v>
      </c>
      <c r="B10" s="3" t="n">
        <v>0</v>
      </c>
      <c r="C10" s="3" t="n">
        <f aca="false">(9+5+6)/3</f>
        <v>6.66666666666667</v>
      </c>
      <c r="D10" s="3" t="n">
        <f aca="false">(16+19+16)/3</f>
        <v>17</v>
      </c>
      <c r="E10" s="3" t="n">
        <v>29</v>
      </c>
      <c r="F10" s="3" t="n">
        <v>63</v>
      </c>
      <c r="G10" s="3" t="n">
        <v>81</v>
      </c>
      <c r="H10" s="3" t="n">
        <v>79</v>
      </c>
      <c r="I10" s="3" t="n">
        <v>99</v>
      </c>
      <c r="J10" s="3" t="n">
        <v>118</v>
      </c>
      <c r="K10" s="3" t="n">
        <v>99</v>
      </c>
      <c r="L10" s="3" t="n">
        <v>109</v>
      </c>
      <c r="M10" s="3" t="n">
        <v>84</v>
      </c>
      <c r="N10" s="13" t="n">
        <v>56</v>
      </c>
      <c r="O10" s="13" t="n">
        <v>75</v>
      </c>
      <c r="P10" s="13" t="n">
        <v>58</v>
      </c>
      <c r="Q10" s="3"/>
      <c r="R10" s="6" t="s">
        <v>36</v>
      </c>
      <c r="S10" s="3" t="n">
        <v>0</v>
      </c>
      <c r="T10" s="3" t="n">
        <v>0.0855589866666667</v>
      </c>
      <c r="U10" s="3" t="n">
        <v>0.17660981</v>
      </c>
      <c r="V10" s="3" t="n">
        <v>0.28234625</v>
      </c>
      <c r="W10" s="3" t="n">
        <v>0.58193283</v>
      </c>
      <c r="X10" s="3" t="n">
        <v>0.74053749</v>
      </c>
      <c r="Y10" s="3" t="n">
        <v>0.72291475</v>
      </c>
      <c r="Z10" s="3" t="n">
        <v>0.89914215</v>
      </c>
      <c r="AA10" s="3" t="n">
        <v>1.06655818</v>
      </c>
      <c r="AB10" s="3" t="n">
        <v>0.89914215</v>
      </c>
      <c r="AC10" s="3" t="n">
        <v>0.98725585</v>
      </c>
      <c r="AD10" s="3" t="n">
        <v>0.7669716</v>
      </c>
      <c r="AE10" s="3" t="n">
        <v>0.52025324</v>
      </c>
      <c r="AF10" s="3" t="n">
        <v>0.68766927</v>
      </c>
      <c r="AG10" s="3" t="n">
        <v>0.53787598</v>
      </c>
      <c r="AH10" s="3" t="n">
        <v>0</v>
      </c>
      <c r="AI10" s="12" t="n">
        <f aca="false">(22.5+20+25+25+25+25+25+25+25+20+20+20+20+20+20)/(15*100)</f>
        <v>0.225</v>
      </c>
      <c r="AK10" s="10"/>
      <c r="AL10" s="10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</row>
    <row r="11" customFormat="false" ht="46.25" hidden="false" customHeight="true" outlineLevel="0" collapsed="false">
      <c r="A11" s="6" t="s">
        <v>51</v>
      </c>
      <c r="B11" s="3" t="n">
        <v>0</v>
      </c>
      <c r="C11" s="3" t="n">
        <f aca="false">(7+7+9)/3</f>
        <v>7.66666666666667</v>
      </c>
      <c r="D11" s="3" t="n">
        <f aca="false">(27+32+32)/3</f>
        <v>30.3333333333333</v>
      </c>
      <c r="E11" s="3" t="s">
        <v>54</v>
      </c>
      <c r="F11" s="3" t="s">
        <v>54</v>
      </c>
      <c r="G11" s="3" t="s">
        <v>54</v>
      </c>
      <c r="H11" s="3" t="s">
        <v>54</v>
      </c>
      <c r="I11" s="3" t="s">
        <v>54</v>
      </c>
      <c r="J11" s="3" t="s">
        <v>54</v>
      </c>
      <c r="K11" s="3" t="s">
        <v>54</v>
      </c>
      <c r="L11" s="3" t="s">
        <v>54</v>
      </c>
      <c r="M11" s="3" t="s">
        <v>54</v>
      </c>
      <c r="N11" s="13" t="s">
        <v>54</v>
      </c>
      <c r="O11" s="13" t="n">
        <v>75</v>
      </c>
      <c r="P11" s="13" t="n">
        <v>43</v>
      </c>
      <c r="Q11" s="3"/>
      <c r="R11" s="6" t="s">
        <v>51</v>
      </c>
      <c r="S11" s="3" t="n">
        <v>0</v>
      </c>
      <c r="T11" s="3" t="n">
        <v>0.0943703566666667</v>
      </c>
      <c r="U11" s="3" t="n">
        <v>0.294094743333333</v>
      </c>
      <c r="V11" s="3" t="n">
        <v>0.45857365</v>
      </c>
      <c r="W11" s="3" t="n">
        <v>0.81102845</v>
      </c>
      <c r="X11" s="3" t="n">
        <v>0.81983982</v>
      </c>
      <c r="Y11" s="3" t="n">
        <v>0.81102845</v>
      </c>
      <c r="Z11" s="3" t="n">
        <v>0.87270804</v>
      </c>
      <c r="AA11" s="3" t="n">
        <v>1.01368996</v>
      </c>
      <c r="AB11" s="3" t="n">
        <v>1.18110599</v>
      </c>
      <c r="AC11" s="3" t="n">
        <v>1.13704914</v>
      </c>
      <c r="AD11" s="3" t="n">
        <v>1.00487859</v>
      </c>
      <c r="AE11" s="3" t="n">
        <v>0.65242379</v>
      </c>
      <c r="AF11" s="3" t="n">
        <v>0.68766927</v>
      </c>
      <c r="AG11" s="3" t="n">
        <v>0.40570543</v>
      </c>
      <c r="AH11" s="3" t="n">
        <v>0</v>
      </c>
      <c r="AI11" s="12" t="n">
        <f aca="false">(35+30+35+35)/(4*100)</f>
        <v>0.3375</v>
      </c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</row>
    <row r="12" customFormat="false" ht="56.7" hidden="false" customHeight="true" outlineLevel="0" collapsed="false">
      <c r="A12" s="6" t="s">
        <v>57</v>
      </c>
      <c r="B12" s="3" t="n">
        <v>0</v>
      </c>
      <c r="C12" s="3" t="n">
        <f aca="false">(13+5+10)/3</f>
        <v>9.33333333333333</v>
      </c>
      <c r="D12" s="3" t="n">
        <f aca="false">(43+40+38)/3</f>
        <v>40.3333333333333</v>
      </c>
      <c r="E12" s="3" t="n">
        <v>49</v>
      </c>
      <c r="F12" s="3" t="s">
        <v>54</v>
      </c>
      <c r="G12" s="3" t="s">
        <v>54</v>
      </c>
      <c r="H12" s="3" t="n">
        <v>89</v>
      </c>
      <c r="I12" s="3" t="n">
        <v>96</v>
      </c>
      <c r="J12" s="3" t="n">
        <v>112</v>
      </c>
      <c r="K12" s="3" t="n">
        <v>131</v>
      </c>
      <c r="L12" s="3" t="n">
        <v>126</v>
      </c>
      <c r="M12" s="3" t="n">
        <v>111</v>
      </c>
      <c r="N12" s="13" t="n">
        <v>71</v>
      </c>
      <c r="O12" s="13" t="s">
        <v>54</v>
      </c>
      <c r="P12" s="13" t="s">
        <v>54</v>
      </c>
      <c r="Q12" s="3"/>
      <c r="R12" s="6" t="s">
        <v>57</v>
      </c>
      <c r="S12" s="3" t="n">
        <v>0</v>
      </c>
      <c r="T12" s="3" t="n">
        <v>0.109055973333333</v>
      </c>
      <c r="U12" s="3" t="n">
        <v>0.382208443333333</v>
      </c>
      <c r="V12" s="3" t="n">
        <v>0.83746256</v>
      </c>
      <c r="W12" s="3" t="n">
        <v>0.83746256</v>
      </c>
      <c r="X12" s="3" t="n">
        <v>0.83746256</v>
      </c>
      <c r="Y12" s="3" t="n">
        <v>0.77578297</v>
      </c>
      <c r="Z12" s="3" t="n">
        <v>0.8550853</v>
      </c>
      <c r="AA12" s="3" t="n">
        <v>0.96082174</v>
      </c>
      <c r="AB12" s="3" t="n">
        <v>1.11061503</v>
      </c>
      <c r="AC12" s="3" t="n">
        <v>1.18110599</v>
      </c>
      <c r="AD12" s="3" t="n">
        <v>0.99606722</v>
      </c>
      <c r="AE12" s="3" t="n">
        <v>0.6788579</v>
      </c>
      <c r="AF12" s="3" t="n">
        <v>0.69648064</v>
      </c>
      <c r="AG12" s="3" t="n">
        <v>0.3264031</v>
      </c>
      <c r="AH12" s="3" t="n">
        <v>0</v>
      </c>
      <c r="AI12" s="12" t="n">
        <f aca="false">(36+40+40+40+40+40+40+40+40+40)/(10*100)</f>
        <v>0.396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</row>
    <row r="13" customFormat="false" ht="61.15" hidden="false" customHeight="true" outlineLevel="0" collapsed="false">
      <c r="A13" s="6" t="s">
        <v>68</v>
      </c>
      <c r="B13" s="3" t="n">
        <v>0</v>
      </c>
      <c r="C13" s="3" t="s">
        <v>54</v>
      </c>
      <c r="D13" s="3" t="n">
        <f aca="false">(54+54+56)/3</f>
        <v>54.6666666666667</v>
      </c>
      <c r="E13" s="3" t="s">
        <v>54</v>
      </c>
      <c r="F13" s="3" t="n">
        <v>89</v>
      </c>
      <c r="G13" s="3" t="n">
        <v>90</v>
      </c>
      <c r="H13" s="3" t="s">
        <v>54</v>
      </c>
      <c r="I13" s="3" t="s">
        <v>54</v>
      </c>
      <c r="J13" s="3" t="s">
        <v>54</v>
      </c>
      <c r="K13" s="3" t="s">
        <v>54</v>
      </c>
      <c r="L13" s="3" t="s">
        <v>54</v>
      </c>
      <c r="M13" s="3" t="s">
        <v>54</v>
      </c>
      <c r="N13" s="13" t="s">
        <v>54</v>
      </c>
      <c r="O13" s="13" t="s">
        <v>54</v>
      </c>
      <c r="P13" s="13" t="s">
        <v>54</v>
      </c>
      <c r="Q13" s="3"/>
      <c r="R13" s="6" t="s">
        <v>68</v>
      </c>
      <c r="S13" s="3" t="n">
        <v>0</v>
      </c>
      <c r="T13" s="3" t="n">
        <v>0</v>
      </c>
      <c r="U13" s="3" t="n">
        <v>0.508504746666667</v>
      </c>
      <c r="V13" s="3" t="n">
        <v>0</v>
      </c>
      <c r="W13" s="3" t="n">
        <v>0</v>
      </c>
      <c r="X13" s="3" t="n">
        <v>0</v>
      </c>
      <c r="Y13" s="3" t="n">
        <v>0</v>
      </c>
      <c r="Z13" s="3" t="n">
        <v>0</v>
      </c>
      <c r="AA13" s="3" t="n">
        <v>0</v>
      </c>
      <c r="AB13" s="3" t="n">
        <v>0</v>
      </c>
      <c r="AC13" s="3" t="n">
        <v>0</v>
      </c>
      <c r="AD13" s="3" t="n">
        <v>0</v>
      </c>
      <c r="AE13" s="3" t="n">
        <v>0</v>
      </c>
      <c r="AF13" s="3" t="n">
        <v>0</v>
      </c>
      <c r="AG13" s="3" t="n">
        <v>0</v>
      </c>
      <c r="AH13" s="3" t="n">
        <v>0</v>
      </c>
      <c r="AI13" s="12" t="n">
        <f aca="false">(50+50+50)/(3*100)</f>
        <v>0.5</v>
      </c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</row>
    <row r="14" customFormat="false" ht="50.7" hidden="false" customHeight="true" outlineLevel="0" collapsed="false">
      <c r="A14" s="6" t="s">
        <v>72</v>
      </c>
      <c r="B14" s="3" t="n">
        <v>0</v>
      </c>
      <c r="C14" s="3" t="s">
        <v>54</v>
      </c>
      <c r="D14" s="3" t="n">
        <f aca="false">(66+58)/2</f>
        <v>62</v>
      </c>
      <c r="E14" s="3" t="n">
        <f aca="false">(93+91)/2</f>
        <v>92</v>
      </c>
      <c r="F14" s="3" t="n">
        <v>92</v>
      </c>
      <c r="G14" s="3" t="n">
        <v>92</v>
      </c>
      <c r="H14" s="3" t="n">
        <v>85</v>
      </c>
      <c r="I14" s="3" t="n">
        <v>94</v>
      </c>
      <c r="J14" s="3" t="n">
        <v>106</v>
      </c>
      <c r="K14" s="3" t="n">
        <v>123</v>
      </c>
      <c r="L14" s="3" t="n">
        <v>131</v>
      </c>
      <c r="M14" s="3" t="n">
        <v>110</v>
      </c>
      <c r="N14" s="13" t="n">
        <v>74</v>
      </c>
      <c r="O14" s="13" t="n">
        <v>76</v>
      </c>
      <c r="P14" s="13" t="n">
        <v>34</v>
      </c>
      <c r="Q14" s="3"/>
      <c r="R14" s="6" t="s">
        <v>72</v>
      </c>
      <c r="S14" s="3" t="n">
        <v>0</v>
      </c>
      <c r="T14" s="3" t="n">
        <v>0</v>
      </c>
      <c r="U14" s="3" t="n">
        <v>0.57312146</v>
      </c>
      <c r="V14" s="3" t="n">
        <v>0</v>
      </c>
      <c r="W14" s="3" t="n">
        <v>0</v>
      </c>
      <c r="X14" s="3" t="n">
        <v>0</v>
      </c>
      <c r="Y14" s="3" t="n">
        <v>0</v>
      </c>
      <c r="Z14" s="3" t="n">
        <v>0</v>
      </c>
      <c r="AA14" s="3" t="n">
        <v>0</v>
      </c>
      <c r="AB14" s="3" t="n">
        <v>0</v>
      </c>
      <c r="AC14" s="3" t="n">
        <v>0</v>
      </c>
      <c r="AD14" s="3" t="n">
        <v>0</v>
      </c>
      <c r="AE14" s="3" t="n">
        <v>0</v>
      </c>
      <c r="AF14" s="3" t="n">
        <v>0</v>
      </c>
      <c r="AG14" s="3" t="n">
        <v>0</v>
      </c>
      <c r="AH14" s="3" t="n">
        <v>0</v>
      </c>
      <c r="AI14" s="12" t="n">
        <f aca="false">(SUM(AJ20:AX20))/15</f>
        <v>0</v>
      </c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</row>
    <row r="15" customFormat="false" ht="13.8" hidden="false" customHeight="false" outlineLevel="0" collapsed="false">
      <c r="AI15" s="14"/>
    </row>
    <row r="16" customFormat="false" ht="63.4" hidden="false" customHeight="true" outlineLevel="0" collapsed="false">
      <c r="A16" s="10" t="s">
        <v>87</v>
      </c>
      <c r="B16" s="6" t="s">
        <v>0</v>
      </c>
      <c r="C16" s="6" t="s">
        <v>1</v>
      </c>
      <c r="D16" s="6" t="s">
        <v>2</v>
      </c>
      <c r="E16" s="6" t="s">
        <v>3</v>
      </c>
      <c r="F16" s="6" t="s">
        <v>4</v>
      </c>
      <c r="G16" s="6" t="s">
        <v>5</v>
      </c>
      <c r="H16" s="6" t="s">
        <v>6</v>
      </c>
      <c r="I16" s="6" t="s">
        <v>7</v>
      </c>
      <c r="J16" s="6" t="s">
        <v>8</v>
      </c>
      <c r="K16" s="6" t="s">
        <v>9</v>
      </c>
      <c r="L16" s="6" t="s">
        <v>10</v>
      </c>
      <c r="M16" s="6" t="s">
        <v>11</v>
      </c>
      <c r="N16" s="6" t="s">
        <v>12</v>
      </c>
      <c r="O16" s="6" t="s">
        <v>13</v>
      </c>
      <c r="P16" s="6" t="s">
        <v>14</v>
      </c>
      <c r="Q16" s="6" t="s">
        <v>15</v>
      </c>
      <c r="R16" s="15" t="s">
        <v>88</v>
      </c>
      <c r="S16" s="6" t="s">
        <v>0</v>
      </c>
      <c r="T16" s="6" t="s">
        <v>1</v>
      </c>
      <c r="U16" s="6" t="s">
        <v>2</v>
      </c>
      <c r="V16" s="6" t="s">
        <v>3</v>
      </c>
      <c r="W16" s="6" t="s">
        <v>4</v>
      </c>
      <c r="X16" s="6" t="s">
        <v>5</v>
      </c>
      <c r="Y16" s="6" t="s">
        <v>6</v>
      </c>
      <c r="Z16" s="6" t="s">
        <v>7</v>
      </c>
      <c r="AA16" s="6" t="s">
        <v>8</v>
      </c>
      <c r="AB16" s="6" t="s">
        <v>9</v>
      </c>
      <c r="AC16" s="6" t="s">
        <v>10</v>
      </c>
      <c r="AD16" s="6" t="s">
        <v>11</v>
      </c>
      <c r="AE16" s="6" t="s">
        <v>12</v>
      </c>
      <c r="AF16" s="6" t="s">
        <v>13</v>
      </c>
      <c r="AG16" s="6" t="s">
        <v>14</v>
      </c>
      <c r="AH16" s="6" t="s">
        <v>15</v>
      </c>
      <c r="AK16" s="9"/>
      <c r="AL16" s="9"/>
    </row>
    <row r="17" customFormat="false" ht="97" hidden="false" customHeight="true" outlineLevel="0" collapsed="false">
      <c r="A17" s="6" t="s">
        <v>89</v>
      </c>
      <c r="B17" s="3" t="n">
        <f aca="false">(S9+(2*(SUM(S10:S13)+S14))/10)</f>
        <v>0</v>
      </c>
      <c r="C17" s="3" t="n">
        <f aca="false">(T9+(2*(SUM(T10:T11)+T12))/6)</f>
        <v>0.184824548888889</v>
      </c>
      <c r="D17" s="3" t="n">
        <f aca="false">(U9+(2*(SUM(U10:U13)+U14))/10)</f>
        <v>0.522397924</v>
      </c>
      <c r="E17" s="3" t="n">
        <f aca="false">(V9+(2*(SUM(V10:V11)+V12))/6)</f>
        <v>0.614623596666667</v>
      </c>
      <c r="F17" s="3" t="n">
        <f aca="false">(W9+(2*(SUM(W10:W11)+W12))/6)</f>
        <v>1.27253922333333</v>
      </c>
      <c r="G17" s="3" t="n">
        <f aca="false">(X9+(2*(SUM(X10:X11)+X12))/6)</f>
        <v>1.13449442666667</v>
      </c>
      <c r="H17" s="3" t="n">
        <f aca="false">(Y9+(2*(SUM(Y10:Y11)+Y12))/6)</f>
        <v>1.47520073333333</v>
      </c>
      <c r="I17" s="3" t="n">
        <f aca="false">(Z9+(2*(SUM(Z10:Z11)+Z12))/6)</f>
        <v>1.67786224333333</v>
      </c>
      <c r="J17" s="3" t="n">
        <f aca="false">(AA9+(2*(SUM(AA10:AA11)+AA12))/6)</f>
        <v>1.04050648</v>
      </c>
      <c r="K17" s="3" t="n">
        <f aca="false">(AB9+(2*(SUM(AB10:AB11)+AB12))/6)</f>
        <v>1.80415854666667</v>
      </c>
      <c r="L17" s="3" t="n">
        <f aca="false">(AC9+(2*(SUM(AC10:AC11)+AC12))/6)</f>
        <v>1.93926622</v>
      </c>
      <c r="M17" s="3" t="n">
        <f aca="false">(AD9+(2*(SUM(AD10:AD11)+AD12))/6)</f>
        <v>1.64555388666667</v>
      </c>
      <c r="N17" s="3" t="n">
        <f aca="false">(AE9+(2*(SUM(AE10:AE11)+AE12))/6)</f>
        <v>1.0933747</v>
      </c>
      <c r="O17" s="3" t="n">
        <f aca="false">(AF9+(2*(SUM(AF10:AF11)+AF12))/6)</f>
        <v>1.36946429333333</v>
      </c>
      <c r="P17" s="3" t="n">
        <f aca="false">(AG9+(2*(SUM(AG10:AG11)+AG12))/6)</f>
        <v>0.97001552</v>
      </c>
      <c r="Q17" s="3" t="n">
        <f aca="false">(AH9+(2*(SUM(AH10:AH11)+AH12))/6)</f>
        <v>0</v>
      </c>
      <c r="R17" s="6" t="s">
        <v>89</v>
      </c>
      <c r="S17" s="3" t="n">
        <v>0</v>
      </c>
      <c r="T17" s="3" t="n">
        <v>0.184824548888889</v>
      </c>
      <c r="U17" s="3" t="n">
        <v>0.522397924</v>
      </c>
      <c r="V17" s="3" t="n">
        <v>0.614623596666667</v>
      </c>
      <c r="W17" s="3" t="n">
        <v>1.27253922333333</v>
      </c>
      <c r="X17" s="3" t="n">
        <v>1.13449442666667</v>
      </c>
      <c r="Y17" s="3" t="n">
        <v>1.47520073333333</v>
      </c>
      <c r="Z17" s="3" t="n">
        <v>1.67786224333333</v>
      </c>
      <c r="AA17" s="3" t="n">
        <v>1.04050648</v>
      </c>
      <c r="AB17" s="3" t="n">
        <v>1.80415854666667</v>
      </c>
      <c r="AC17" s="3" t="n">
        <v>1.93926622</v>
      </c>
      <c r="AD17" s="3" t="n">
        <v>1.64555388666667</v>
      </c>
      <c r="AE17" s="3" t="n">
        <v>1.0933747</v>
      </c>
      <c r="AF17" s="3" t="n">
        <v>1.36946429333333</v>
      </c>
      <c r="AG17" s="3" t="n">
        <v>0.97001552</v>
      </c>
      <c r="AH17" s="3" t="n">
        <v>0</v>
      </c>
      <c r="AK17" s="9"/>
      <c r="AL17" s="9"/>
    </row>
    <row r="18" customFormat="false" ht="87.3" hidden="false" customHeight="true" outlineLevel="0" collapsed="false">
      <c r="A18" s="6" t="s">
        <v>90</v>
      </c>
      <c r="B18" s="3" t="n">
        <v>0.14875</v>
      </c>
      <c r="C18" s="3" t="n">
        <v>0.290416666666667</v>
      </c>
      <c r="D18" s="3" t="n">
        <v>0.349166666666667</v>
      </c>
      <c r="E18" s="3" t="n">
        <v>0.363333333333334</v>
      </c>
      <c r="F18" s="3" t="n">
        <v>0.384166666666667</v>
      </c>
      <c r="G18" s="3" t="n">
        <v>0.38</v>
      </c>
      <c r="H18" s="3" t="n">
        <v>0.363333333333333</v>
      </c>
      <c r="I18" s="3" t="n">
        <v>0.346666666666667</v>
      </c>
      <c r="J18" s="3" t="n">
        <v>0.34</v>
      </c>
      <c r="K18" s="3" t="n">
        <v>0.340833333333334</v>
      </c>
      <c r="L18" s="3" t="n">
        <v>0.345833333333334</v>
      </c>
      <c r="M18" s="3" t="n">
        <v>0.346666666666667</v>
      </c>
      <c r="N18" s="3" t="n">
        <v>0.325</v>
      </c>
      <c r="O18" s="3" t="n">
        <v>0.3</v>
      </c>
      <c r="P18" s="3" t="n">
        <v>0.27</v>
      </c>
      <c r="Q18" s="3" t="s">
        <v>54</v>
      </c>
      <c r="R18" s="6" t="s">
        <v>91</v>
      </c>
      <c r="S18" s="3" t="n">
        <f aca="false">(U19-S19)/2</f>
        <v>0.5</v>
      </c>
      <c r="T18" s="3" t="n">
        <f aca="false">(V19-T19)/2</f>
        <v>0.5</v>
      </c>
      <c r="U18" s="3" t="n">
        <f aca="false">(W19-U19)/2</f>
        <v>0.5</v>
      </c>
      <c r="V18" s="3" t="n">
        <f aca="false">(X19-V19)/2</f>
        <v>0.5</v>
      </c>
      <c r="W18" s="3" t="n">
        <f aca="false">(Y19-W19)/2</f>
        <v>0.5</v>
      </c>
      <c r="X18" s="3" t="n">
        <f aca="false">(Z19-X19)/2</f>
        <v>0.5</v>
      </c>
      <c r="Y18" s="3" t="n">
        <f aca="false">(AA19-Y19)/2</f>
        <v>0.5</v>
      </c>
      <c r="Z18" s="3" t="n">
        <f aca="false">(AB19-Z19)/2</f>
        <v>0.5</v>
      </c>
      <c r="AA18" s="3" t="n">
        <f aca="false">(AC19-AA19)/2</f>
        <v>0.5</v>
      </c>
      <c r="AB18" s="3" t="n">
        <f aca="false">(AD19-AB19)/2</f>
        <v>0.5</v>
      </c>
      <c r="AC18" s="3" t="n">
        <f aca="false">(AE19-AC19)/2</f>
        <v>0.5</v>
      </c>
      <c r="AD18" s="3" t="n">
        <f aca="false">(AF19-AD19)/2</f>
        <v>0.5</v>
      </c>
      <c r="AE18" s="3" t="n">
        <f aca="false">(AG19-AE19)/2</f>
        <v>0.5</v>
      </c>
      <c r="AF18" s="3" t="n">
        <f aca="false">(AH19-AF19)/2</f>
        <v>0.5</v>
      </c>
      <c r="AG18" s="3"/>
      <c r="AH18" s="3"/>
    </row>
    <row r="19" customFormat="false" ht="76.1" hidden="false" customHeight="true" outlineLevel="0" collapsed="false">
      <c r="A19" s="6" t="s">
        <v>92</v>
      </c>
      <c r="B19" s="3" t="n">
        <f aca="false">(B17+C17)/2</f>
        <v>0.0924122744444444</v>
      </c>
      <c r="C19" s="3" t="n">
        <f aca="false">(C17+D17)/2</f>
        <v>0.353611236444444</v>
      </c>
      <c r="D19" s="3" t="n">
        <f aca="false">(D17+E17)/2</f>
        <v>0.568510760333333</v>
      </c>
      <c r="E19" s="3" t="n">
        <f aca="false">(E17+F17)/2</f>
        <v>0.94358141</v>
      </c>
      <c r="F19" s="3" t="n">
        <f aca="false">(F17+G17)/2</f>
        <v>1.203516825</v>
      </c>
      <c r="G19" s="3" t="n">
        <f aca="false">(G17+H17)/2</f>
        <v>1.30484758</v>
      </c>
      <c r="H19" s="3" t="n">
        <f aca="false">(H17+I17)/2</f>
        <v>1.57653148833333</v>
      </c>
      <c r="I19" s="3" t="n">
        <f aca="false">(I17+J17)/2</f>
        <v>1.35918436166667</v>
      </c>
      <c r="J19" s="3" t="n">
        <f aca="false">(J17+K17)/2</f>
        <v>1.42233251333333</v>
      </c>
      <c r="K19" s="3" t="n">
        <f aca="false">(K17+L17)/2</f>
        <v>1.87171238333333</v>
      </c>
      <c r="L19" s="3" t="n">
        <f aca="false">(L17+M17)/2</f>
        <v>1.79241005333333</v>
      </c>
      <c r="M19" s="3" t="n">
        <f aca="false">(M17+N17)/2</f>
        <v>1.36946429333333</v>
      </c>
      <c r="N19" s="3" t="n">
        <f aca="false">(N17+O17)/2</f>
        <v>1.23141949666667</v>
      </c>
      <c r="O19" s="3" t="n">
        <f aca="false">(O17+P17)/2</f>
        <v>1.16973990666667</v>
      </c>
      <c r="P19" s="3" t="n">
        <f aca="false">(P17+Q17)/2</f>
        <v>0.48500776</v>
      </c>
      <c r="Q19" s="3" t="s">
        <v>54</v>
      </c>
      <c r="R19" s="6" t="s">
        <v>93</v>
      </c>
      <c r="S19" s="3" t="n">
        <v>0.5</v>
      </c>
      <c r="T19" s="3" t="n">
        <v>1</v>
      </c>
      <c r="U19" s="3" t="n">
        <v>1.5</v>
      </c>
      <c r="V19" s="3" t="n">
        <v>2</v>
      </c>
      <c r="W19" s="3" t="n">
        <v>2.5</v>
      </c>
      <c r="X19" s="3" t="n">
        <v>3</v>
      </c>
      <c r="Y19" s="3" t="n">
        <v>3.5</v>
      </c>
      <c r="Z19" s="3" t="n">
        <v>4</v>
      </c>
      <c r="AA19" s="3" t="n">
        <v>4.5</v>
      </c>
      <c r="AB19" s="3" t="n">
        <v>5</v>
      </c>
      <c r="AC19" s="3" t="n">
        <v>5.5</v>
      </c>
      <c r="AD19" s="3" t="n">
        <v>6</v>
      </c>
      <c r="AE19" s="3" t="n">
        <v>6.5</v>
      </c>
      <c r="AF19" s="3" t="n">
        <v>7</v>
      </c>
      <c r="AG19" s="3" t="n">
        <v>7.5</v>
      </c>
      <c r="AH19" s="3" t="n">
        <v>8</v>
      </c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</row>
    <row r="20" customFormat="false" ht="82.05" hidden="false" customHeight="true" outlineLevel="0" collapsed="false">
      <c r="A20" s="6" t="s">
        <v>94</v>
      </c>
      <c r="B20" s="12" t="n">
        <f aca="false">B19*B18</f>
        <v>0.0137463258236111</v>
      </c>
      <c r="C20" s="12" t="n">
        <f aca="false">C19*C18</f>
        <v>0.102694596584074</v>
      </c>
      <c r="D20" s="12" t="n">
        <f aca="false">D19*D18</f>
        <v>0.198505007149722</v>
      </c>
      <c r="E20" s="12" t="n">
        <f aca="false">E19*E18</f>
        <v>0.342834578966667</v>
      </c>
      <c r="F20" s="12" t="n">
        <f aca="false">F19*F18</f>
        <v>0.4623510469375</v>
      </c>
      <c r="G20" s="12" t="n">
        <f aca="false">G19*G18</f>
        <v>0.4958420804</v>
      </c>
      <c r="H20" s="12" t="n">
        <f aca="false">H19*H18</f>
        <v>0.572806440761111</v>
      </c>
      <c r="I20" s="12" t="n">
        <f aca="false">I19*I18</f>
        <v>0.471183912044445</v>
      </c>
      <c r="J20" s="12" t="n">
        <f aca="false">J19*J18</f>
        <v>0.483593054533333</v>
      </c>
      <c r="K20" s="12" t="n">
        <f aca="false">K19*K18</f>
        <v>0.637941970652779</v>
      </c>
      <c r="L20" s="12" t="n">
        <f aca="false">L19*L18</f>
        <v>0.619875143444446</v>
      </c>
      <c r="M20" s="12" t="n">
        <f aca="false">M19*M18</f>
        <v>0.474747621688889</v>
      </c>
      <c r="N20" s="12" t="n">
        <f aca="false">N19*N18</f>
        <v>0.400211336416667</v>
      </c>
      <c r="O20" s="12" t="n">
        <f aca="false">O19*O18</f>
        <v>0.350921972</v>
      </c>
      <c r="P20" s="12" t="n">
        <f aca="false">P19*P18</f>
        <v>0.1309520952</v>
      </c>
      <c r="Q20" s="12" t="s">
        <v>54</v>
      </c>
      <c r="R20" s="6" t="s">
        <v>90</v>
      </c>
      <c r="S20" s="3" t="n">
        <f aca="false">S18*T21</f>
        <v>0.230833333333334</v>
      </c>
      <c r="T20" s="3" t="n">
        <f aca="false">T18*U21</f>
        <v>0.35</v>
      </c>
      <c r="U20" s="3" t="n">
        <f aca="false">U18*V21</f>
        <v>0.348333333333334</v>
      </c>
      <c r="V20" s="3" t="n">
        <f aca="false">V18*W21</f>
        <v>0.378333333333334</v>
      </c>
      <c r="W20" s="3" t="n">
        <f aca="false">W18*X21</f>
        <v>0.39</v>
      </c>
      <c r="X20" s="3" t="n">
        <f aca="false">X18*Y21</f>
        <v>0.37</v>
      </c>
      <c r="Y20" s="3" t="n">
        <f aca="false">Y18*Z21</f>
        <v>0.356666666666667</v>
      </c>
      <c r="Z20" s="3" t="n">
        <f aca="false">Z18*AA21</f>
        <v>0.336666666666667</v>
      </c>
      <c r="AA20" s="3" t="n">
        <f aca="false">AA18*AB21</f>
        <v>0.343333333333334</v>
      </c>
      <c r="AB20" s="3" t="n">
        <f aca="false">AB18*AC21</f>
        <v>0.338333333333334</v>
      </c>
      <c r="AC20" s="3" t="n">
        <f aca="false">AC18*AD21</f>
        <v>0.353333333333334</v>
      </c>
      <c r="AD20" s="3" t="n">
        <f aca="false">AD18*AE21</f>
        <v>0.34</v>
      </c>
      <c r="AE20" s="3" t="n">
        <f aca="false">AE18*AF21</f>
        <v>0.31</v>
      </c>
      <c r="AF20" s="3" t="n">
        <f aca="false">AF18*AG21</f>
        <v>0.29</v>
      </c>
      <c r="AG20" s="3" t="s">
        <v>54</v>
      </c>
      <c r="AH20" s="3" t="s">
        <v>54</v>
      </c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</row>
    <row r="21" customFormat="false" ht="78.35" hidden="false" customHeight="true" outlineLevel="0" collapsed="false">
      <c r="A21" s="6" t="s">
        <v>95</v>
      </c>
      <c r="B21" s="12" t="n">
        <f aca="false">SUM(B20:P20)</f>
        <v>5.75820718260325</v>
      </c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6" t="s">
        <v>96</v>
      </c>
      <c r="S21" s="3" t="n">
        <v>0.133333333333333</v>
      </c>
      <c r="T21" s="3" t="n">
        <v>0.461666666666667</v>
      </c>
      <c r="U21" s="3" t="n">
        <v>0.7</v>
      </c>
      <c r="V21" s="3" t="n">
        <v>0.696666666666667</v>
      </c>
      <c r="W21" s="3" t="n">
        <v>0.756666666666667</v>
      </c>
      <c r="X21" s="3" t="n">
        <v>0.78</v>
      </c>
      <c r="Y21" s="3" t="n">
        <v>0.74</v>
      </c>
      <c r="Z21" s="3" t="n">
        <v>0.713333333333333</v>
      </c>
      <c r="AA21" s="3" t="n">
        <v>0.673333333333333</v>
      </c>
      <c r="AB21" s="3" t="n">
        <v>0.686666666666667</v>
      </c>
      <c r="AC21" s="3" t="n">
        <v>0.676666666666667</v>
      </c>
      <c r="AD21" s="3" t="n">
        <v>0.706666666666667</v>
      </c>
      <c r="AE21" s="3" t="n">
        <v>0.68</v>
      </c>
      <c r="AF21" s="3" t="n">
        <v>0.62</v>
      </c>
      <c r="AG21" s="3" t="n">
        <v>0.58</v>
      </c>
      <c r="AH21" s="3" t="n">
        <v>0.5</v>
      </c>
    </row>
    <row r="22" customFormat="false" ht="78.35" hidden="false" customHeight="true" outlineLevel="0" collapsed="false">
      <c r="A22" s="16"/>
      <c r="R22" s="6" t="s">
        <v>94</v>
      </c>
      <c r="S22" s="3" t="n">
        <f aca="false">S20*T17</f>
        <v>0.0426636667018519</v>
      </c>
      <c r="T22" s="3" t="n">
        <f aca="false">T20*U17</f>
        <v>0.1828392734</v>
      </c>
      <c r="U22" s="3" t="n">
        <f aca="false">U20*V17</f>
        <v>0.214093886172222</v>
      </c>
      <c r="V22" s="3" t="n">
        <f aca="false">V20*W17</f>
        <v>0.48144400616111</v>
      </c>
      <c r="W22" s="3" t="n">
        <f aca="false">W20*X17</f>
        <v>0.442452826400001</v>
      </c>
      <c r="X22" s="3" t="n">
        <f aca="false">X20*Y17</f>
        <v>0.545824271333332</v>
      </c>
      <c r="Y22" s="3" t="n">
        <f aca="false">Y20*Z17</f>
        <v>0.598437533455554</v>
      </c>
      <c r="Z22" s="3" t="n">
        <f aca="false">Z20*AA17</f>
        <v>0.350303848266666</v>
      </c>
      <c r="AA22" s="3" t="n">
        <f aca="false">AA20*AB17</f>
        <v>0.61942776768889</v>
      </c>
      <c r="AB22" s="3" t="n">
        <f aca="false">AB20*AC17</f>
        <v>0.656118404433334</v>
      </c>
      <c r="AC22" s="3" t="n">
        <f aca="false">AC20*AD17</f>
        <v>0.581429039955557</v>
      </c>
      <c r="AD22" s="3" t="n">
        <f aca="false">AD20*AE17</f>
        <v>0.371747398</v>
      </c>
      <c r="AE22" s="3" t="n">
        <f aca="false">AE20*AF17</f>
        <v>0.424533930933332</v>
      </c>
      <c r="AF22" s="3" t="n">
        <f aca="false">AF20*AG17</f>
        <v>0.2813045008</v>
      </c>
      <c r="AG22" s="3" t="s">
        <v>54</v>
      </c>
      <c r="AH22" s="3" t="s">
        <v>54</v>
      </c>
    </row>
    <row r="23" customFormat="false" ht="83.55" hidden="false" customHeight="true" outlineLevel="0" collapsed="false">
      <c r="A23" s="8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6" t="s">
        <v>95</v>
      </c>
      <c r="S23" s="3" t="n">
        <f aca="false">SUM(S22:AG22)</f>
        <v>5.79262035370185</v>
      </c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</row>
    <row r="24" customFormat="false" ht="87.3" hidden="false" customHeight="true" outlineLevel="0" collapsed="false">
      <c r="A24" s="17"/>
      <c r="B24" s="18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customFormat="false" ht="87.3" hidden="false" customHeight="true" outlineLevel="0" collapsed="false">
      <c r="A25" s="17"/>
      <c r="B25" s="17"/>
    </row>
    <row r="26" customFormat="false" ht="91.75" hidden="false" customHeight="true" outlineLevel="0" collapsed="false">
      <c r="A26" s="17"/>
    </row>
    <row r="27" customFormat="false" ht="89.55" hidden="false" customHeight="true" outlineLevel="0" collapsed="false">
      <c r="A27" s="17"/>
    </row>
    <row r="28" customFormat="false" ht="89.55" hidden="false" customHeight="true" outlineLevel="0" collapsed="false">
      <c r="A28" s="17"/>
    </row>
    <row r="29" customFormat="false" ht="13.8" hidden="false" customHeight="false" outlineLevel="0" collapsed="false">
      <c r="A29" s="17"/>
    </row>
  </sheetData>
  <mergeCells count="3">
    <mergeCell ref="AK16:AL17"/>
    <mergeCell ref="B21:Q21"/>
    <mergeCell ref="S23:AH23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Y13"/>
  <sheetViews>
    <sheetView showFormulas="false" showGridLines="true" showRowColHeaders="true" showZeros="true" rightToLeft="false" tabSelected="true" showOutlineSymbols="true" defaultGridColor="true" view="normal" topLeftCell="AD1" colorId="64" zoomScale="85" zoomScaleNormal="85" zoomScalePageLayoutView="100" workbookViewId="0">
      <selection pane="topLeft" activeCell="AK2" activeCellId="0" sqref="AK2:AK7"/>
    </sheetView>
  </sheetViews>
  <sheetFormatPr defaultColWidth="11.53515625" defaultRowHeight="12.8" zeroHeight="false" outlineLevelRow="0" outlineLevelCol="0"/>
  <sheetData>
    <row r="1" customFormat="false" ht="54.4" hidden="false" customHeight="true" outlineLevel="0" collapsed="false">
      <c r="A1" s="19" t="s">
        <v>97</v>
      </c>
      <c r="B1" s="20" t="s">
        <v>98</v>
      </c>
      <c r="C1" s="20" t="s">
        <v>99</v>
      </c>
      <c r="D1" s="20" t="s">
        <v>100</v>
      </c>
      <c r="E1" s="20" t="s">
        <v>101</v>
      </c>
      <c r="F1" s="20" t="s">
        <v>102</v>
      </c>
      <c r="G1" s="20" t="s">
        <v>103</v>
      </c>
      <c r="H1" s="20" t="s">
        <v>104</v>
      </c>
      <c r="I1" s="20" t="s">
        <v>105</v>
      </c>
      <c r="J1" s="20" t="s">
        <v>106</v>
      </c>
      <c r="K1" s="20" t="s">
        <v>107</v>
      </c>
      <c r="L1" s="20" t="s">
        <v>108</v>
      </c>
      <c r="M1" s="20" t="s">
        <v>109</v>
      </c>
      <c r="N1" s="20" t="s">
        <v>110</v>
      </c>
      <c r="O1" s="20" t="s">
        <v>111</v>
      </c>
      <c r="P1" s="20" t="s">
        <v>112</v>
      </c>
      <c r="Q1" s="20" t="s">
        <v>113</v>
      </c>
      <c r="S1" s="5" t="s">
        <v>19</v>
      </c>
      <c r="T1" s="6" t="s">
        <v>0</v>
      </c>
      <c r="U1" s="6" t="s">
        <v>1</v>
      </c>
      <c r="V1" s="6" t="s">
        <v>2</v>
      </c>
      <c r="W1" s="6" t="s">
        <v>3</v>
      </c>
      <c r="X1" s="6" t="s">
        <v>4</v>
      </c>
      <c r="Y1" s="6" t="s">
        <v>5</v>
      </c>
      <c r="Z1" s="6" t="s">
        <v>6</v>
      </c>
      <c r="AA1" s="6" t="s">
        <v>7</v>
      </c>
      <c r="AB1" s="6" t="s">
        <v>8</v>
      </c>
      <c r="AC1" s="6" t="s">
        <v>9</v>
      </c>
      <c r="AD1" s="6" t="s">
        <v>10</v>
      </c>
      <c r="AE1" s="6" t="s">
        <v>11</v>
      </c>
      <c r="AF1" s="6" t="s">
        <v>12</v>
      </c>
      <c r="AG1" s="6" t="s">
        <v>13</v>
      </c>
      <c r="AH1" s="6" t="s">
        <v>14</v>
      </c>
      <c r="AI1" s="6" t="s">
        <v>15</v>
      </c>
    </row>
    <row r="2" customFormat="false" ht="46.5" hidden="false" customHeight="true" outlineLevel="0" collapsed="false">
      <c r="A2" s="19" t="n">
        <v>0.593076923076923</v>
      </c>
      <c r="B2" s="21" t="n">
        <v>0</v>
      </c>
      <c r="C2" s="21"/>
      <c r="D2" s="21"/>
      <c r="E2" s="21" t="n">
        <v>0.736237372</v>
      </c>
      <c r="F2" s="21" t="n">
        <v>0.736237372</v>
      </c>
      <c r="G2" s="21" t="n">
        <v>0.727837471</v>
      </c>
      <c r="H2" s="21" t="n">
        <v>0.677438065</v>
      </c>
      <c r="I2" s="21" t="n">
        <v>0.753037174</v>
      </c>
      <c r="J2" s="21"/>
      <c r="K2" s="21"/>
      <c r="L2" s="21"/>
      <c r="M2" s="21"/>
      <c r="N2" s="21"/>
      <c r="O2" s="21"/>
      <c r="P2" s="21"/>
      <c r="Q2" s="21" t="n">
        <v>0</v>
      </c>
      <c r="S2" s="22" t="n">
        <v>0.1</v>
      </c>
      <c r="T2" s="3" t="n">
        <v>0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13" t="s">
        <v>28</v>
      </c>
      <c r="AB2" s="13" t="s">
        <v>29</v>
      </c>
      <c r="AC2" s="13" t="s">
        <v>30</v>
      </c>
      <c r="AD2" s="13" t="s">
        <v>31</v>
      </c>
      <c r="AE2" s="13" t="s">
        <v>32</v>
      </c>
      <c r="AF2" s="13" t="s">
        <v>33</v>
      </c>
      <c r="AG2" s="13" t="s">
        <v>34</v>
      </c>
      <c r="AH2" s="13" t="s">
        <v>35</v>
      </c>
      <c r="AI2" s="23" t="n">
        <v>0</v>
      </c>
      <c r="AK2" s="3" t="n">
        <v>0</v>
      </c>
      <c r="AL2" s="12" t="n">
        <f aca="false">0.02681652 + (0.2643411*(U9/30))</f>
        <v>0.02681652</v>
      </c>
      <c r="AM2" s="12" t="n">
        <f aca="false">0.02681652 + (0.2643411*(V9/30))</f>
        <v>0.032103342</v>
      </c>
      <c r="AN2" s="12" t="n">
        <f aca="false">0.02681652 + (0.2643411*(W9/30))</f>
        <v>0.0320739707666667</v>
      </c>
      <c r="AO2" s="12" t="n">
        <f aca="false">0.02681652 + (0.2643411*(X9/30))</f>
        <v>0.0326026529666667</v>
      </c>
      <c r="AP2" s="12" t="n">
        <f aca="false">0.02681652 + (0.2643411*(Y9/30))</f>
        <v>0.0328082516</v>
      </c>
      <c r="AQ2" s="12" t="n">
        <f aca="false">0.02681652 + (0.2643411*(Z9/30))</f>
        <v>0.0324557968</v>
      </c>
      <c r="AR2" s="12" t="n">
        <f aca="false">0.02681652 + (0.2643411*(AA9/30))</f>
        <v>0.0322208269333333</v>
      </c>
      <c r="AS2" s="12" t="n">
        <f aca="false">0.02681652 + (0.2643411*(AB9/30))</f>
        <v>0.0318683721333333</v>
      </c>
      <c r="AT2" s="12" t="n">
        <f aca="false">0.02681652 + (0.2643411*(AC9/30))</f>
        <v>0.0319858570666667</v>
      </c>
      <c r="AU2" s="12" t="n">
        <f aca="false">0.02681652 + (0.2643411*(AD9/30))</f>
        <v>0.0318977433666667</v>
      </c>
      <c r="AV2" s="12" t="n">
        <f aca="false">0.02681652 + (0.2643411*(AE9/30))</f>
        <v>0.0321620844666667</v>
      </c>
      <c r="AW2" s="12" t="n">
        <f aca="false">0.02681652 + (0.2643411*(AF9/30))</f>
        <v>0.0319271146</v>
      </c>
      <c r="AX2" s="12" t="n">
        <f aca="false">0.02681652 + (0.2643411*(AG9/30))</f>
        <v>0.0313984324</v>
      </c>
      <c r="AY2" s="12" t="n">
        <f aca="false">0.02681652 + (0.2643411*(AH9/30))</f>
        <v>0.0310459776</v>
      </c>
    </row>
    <row r="3" customFormat="false" ht="53.55" hidden="false" customHeight="true" outlineLevel="0" collapsed="false">
      <c r="A3" s="24" t="n">
        <v>0.5</v>
      </c>
      <c r="B3" s="21" t="n">
        <v>0</v>
      </c>
      <c r="C3" s="21"/>
      <c r="D3" s="21" t="n">
        <v>0.509440045</v>
      </c>
      <c r="E3" s="21" t="n">
        <v>0.669038164</v>
      </c>
      <c r="F3" s="21" t="n">
        <v>0.769836976</v>
      </c>
      <c r="G3" s="21" t="n">
        <v>0.7908367285</v>
      </c>
      <c r="H3" s="21" t="n">
        <v>0.7572371245</v>
      </c>
      <c r="I3" s="21" t="n">
        <v>0.786636778</v>
      </c>
      <c r="J3" s="21" t="n">
        <v>0.9084353425</v>
      </c>
      <c r="K3" s="21" t="n">
        <v>1.0932331645</v>
      </c>
      <c r="L3" s="21" t="n">
        <v>1.13943262</v>
      </c>
      <c r="M3" s="21" t="n">
        <v>1.0260339565</v>
      </c>
      <c r="N3" s="21" t="n">
        <v>0.8328362335</v>
      </c>
      <c r="O3" s="21" t="n">
        <v>0.7236375205</v>
      </c>
      <c r="P3" s="21" t="n">
        <v>0.5052400945</v>
      </c>
      <c r="Q3" s="21" t="n">
        <v>0</v>
      </c>
      <c r="S3" s="22" t="n">
        <f aca="false">(22.5+20+25+25+25+25+25+25+20+20+20+20+20+20)/(14*100)</f>
        <v>0.223214285714286</v>
      </c>
      <c r="T3" s="3" t="n">
        <v>0</v>
      </c>
      <c r="U3" s="13" t="s">
        <v>37</v>
      </c>
      <c r="V3" s="13" t="s">
        <v>38</v>
      </c>
      <c r="W3" s="13" t="s">
        <v>39</v>
      </c>
      <c r="X3" s="13" t="s">
        <v>40</v>
      </c>
      <c r="Y3" s="13" t="s">
        <v>41</v>
      </c>
      <c r="Z3" s="13" t="s">
        <v>42</v>
      </c>
      <c r="AA3" s="13" t="s">
        <v>43</v>
      </c>
      <c r="AB3" s="13" t="s">
        <v>44</v>
      </c>
      <c r="AC3" s="13" t="s">
        <v>45</v>
      </c>
      <c r="AD3" s="13" t="s">
        <v>46</v>
      </c>
      <c r="AE3" s="13" t="s">
        <v>47</v>
      </c>
      <c r="AF3" s="13" t="s">
        <v>48</v>
      </c>
      <c r="AG3" s="13" t="s">
        <v>49</v>
      </c>
      <c r="AH3" s="13" t="s">
        <v>50</v>
      </c>
      <c r="AI3" s="23" t="n">
        <v>0</v>
      </c>
      <c r="AK3" s="3" t="n">
        <v>0</v>
      </c>
      <c r="AL3" s="12" t="n">
        <f aca="false">0.02681652 + (0.2643411*(U10/30))</f>
        <v>0.02681652</v>
      </c>
      <c r="AM3" s="12" t="n">
        <f aca="false">0.02681652 + (0.2643411*(V10/30))</f>
        <v>0.02681652</v>
      </c>
      <c r="AN3" s="12" t="n">
        <f aca="false">0.02681652 + (0.2643411*(W10/30))</f>
        <v>0.02681652</v>
      </c>
      <c r="AO3" s="12" t="n">
        <f aca="false">0.02681652 + (0.2643411*(X10/30))</f>
        <v>0.02681652</v>
      </c>
      <c r="AP3" s="12" t="n">
        <f aca="false">0.02681652 + (0.2643411*(Y10/30))</f>
        <v>0.02681652</v>
      </c>
      <c r="AQ3" s="12" t="n">
        <f aca="false">0.02681652 + (0.2643411*(Z10/30))</f>
        <v>0.02681652</v>
      </c>
      <c r="AR3" s="12" t="n">
        <f aca="false">0.02681652 + (0.2643411*(AA10/30))</f>
        <v>0.02681652</v>
      </c>
      <c r="AS3" s="12" t="n">
        <f aca="false">0.02681652 + (0.2643411*(AB10/30))</f>
        <v>0.02681652</v>
      </c>
      <c r="AT3" s="12" t="n">
        <f aca="false">0.02681652 + (0.2643411*(AC10/30))</f>
        <v>0.02681652</v>
      </c>
      <c r="AU3" s="12" t="n">
        <f aca="false">0.02681652 + (0.2643411*(AD10/30))</f>
        <v>0.02681652</v>
      </c>
      <c r="AV3" s="12" t="n">
        <f aca="false">0.02681652 + (0.2643411*(AE10/30))</f>
        <v>0.02681652</v>
      </c>
      <c r="AW3" s="12" t="n">
        <f aca="false">0.02681652 + (0.2643411*(AF10/30))</f>
        <v>0.02681652</v>
      </c>
      <c r="AX3" s="12" t="n">
        <f aca="false">0.02681652 + (0.2643411*(AG10/30))</f>
        <v>0.02681652</v>
      </c>
      <c r="AY3" s="12" t="n">
        <f aca="false">0.02681652 + (0.2643411*(AH10/30))</f>
        <v>0.02681652</v>
      </c>
    </row>
    <row r="4" customFormat="false" ht="39.5" hidden="false" customHeight="true" outlineLevel="0" collapsed="false">
      <c r="A4" s="24" t="n">
        <v>0.396</v>
      </c>
      <c r="B4" s="21" t="n">
        <v>0</v>
      </c>
      <c r="C4" s="21" t="n">
        <v>0.0768451435</v>
      </c>
      <c r="D4" s="21" t="n">
        <v>0.291042619</v>
      </c>
      <c r="E4" s="21" t="n">
        <v>0.3876414805</v>
      </c>
      <c r="F4" s="21" t="n">
        <v>0.5976390055</v>
      </c>
      <c r="G4" s="21" t="n">
        <v>0.6648382135</v>
      </c>
      <c r="H4" s="21" t="n">
        <v>0.727837471</v>
      </c>
      <c r="I4" s="21" t="n">
        <v>0.879035689</v>
      </c>
      <c r="J4" s="21" t="n">
        <v>1.047033709</v>
      </c>
      <c r="K4" s="21" t="n">
        <v>1.1352326695</v>
      </c>
      <c r="L4" s="21" t="n">
        <v>1.1352326695</v>
      </c>
      <c r="M4" s="21" t="n">
        <v>0.954634798</v>
      </c>
      <c r="N4" s="21" t="n">
        <v>0.811836481</v>
      </c>
      <c r="O4" s="21" t="n">
        <v>0.6816380155</v>
      </c>
      <c r="P4" s="21" t="n">
        <v>0.6144388075</v>
      </c>
      <c r="Q4" s="21" t="n">
        <v>0</v>
      </c>
      <c r="S4" s="22" t="n">
        <f aca="false">(35+30+35+35)/(4*100)</f>
        <v>0.3375</v>
      </c>
      <c r="T4" s="3" t="n">
        <v>0</v>
      </c>
      <c r="U4" s="13" t="s">
        <v>52</v>
      </c>
      <c r="V4" s="13" t="s">
        <v>53</v>
      </c>
      <c r="W4" s="13" t="s">
        <v>54</v>
      </c>
      <c r="X4" s="13" t="s">
        <v>54</v>
      </c>
      <c r="Y4" s="13" t="s">
        <v>54</v>
      </c>
      <c r="Z4" s="13" t="s">
        <v>54</v>
      </c>
      <c r="AA4" s="13" t="s">
        <v>54</v>
      </c>
      <c r="AB4" s="13" t="s">
        <v>54</v>
      </c>
      <c r="AC4" s="13" t="s">
        <v>54</v>
      </c>
      <c r="AD4" s="13" t="s">
        <v>54</v>
      </c>
      <c r="AE4" s="13" t="s">
        <v>54</v>
      </c>
      <c r="AF4" s="13" t="s">
        <v>54</v>
      </c>
      <c r="AG4" s="13" t="s">
        <v>55</v>
      </c>
      <c r="AH4" s="13" t="s">
        <v>56</v>
      </c>
      <c r="AI4" s="23" t="n">
        <v>0</v>
      </c>
      <c r="AK4" s="3" t="n">
        <v>0</v>
      </c>
      <c r="AL4" s="12" t="n">
        <f aca="false">0.02681652 + (0.2643411*(U11/30))</f>
        <v>0.02681652</v>
      </c>
      <c r="AM4" s="12" t="n">
        <f aca="false">0.02681652 + (0.2643411*(V11/30))</f>
        <v>0.02681652</v>
      </c>
      <c r="AN4" s="12" t="s">
        <v>54</v>
      </c>
      <c r="AO4" s="12" t="s">
        <v>54</v>
      </c>
      <c r="AP4" s="12" t="s">
        <v>54</v>
      </c>
      <c r="AQ4" s="12" t="s">
        <v>54</v>
      </c>
      <c r="AR4" s="12" t="s">
        <v>54</v>
      </c>
      <c r="AS4" s="12" t="s">
        <v>54</v>
      </c>
      <c r="AT4" s="12" t="n">
        <f aca="false">0.02681652 + (0.2643411*(AC11/30))</f>
        <v>0.02681652</v>
      </c>
      <c r="AU4" s="12" t="n">
        <f aca="false">0.02681652 + (0.2643411*(AD11/30))</f>
        <v>0.02681652</v>
      </c>
      <c r="AV4" s="12" t="n">
        <f aca="false">0.02681652 + (0.2643411*(AE11/30))</f>
        <v>0.02681652</v>
      </c>
      <c r="AW4" s="12" t="n">
        <f aca="false">0.02681652 + (0.2643411*(AF11/30))</f>
        <v>0.02681652</v>
      </c>
      <c r="AX4" s="12" t="n">
        <f aca="false">0.02681652 + (0.2643411*(AG11/30))</f>
        <v>0.02681652</v>
      </c>
      <c r="AY4" s="12" t="n">
        <f aca="false">0.02681652 + (0.2643411*(AH11/30))</f>
        <v>0.02681652</v>
      </c>
    </row>
    <row r="5" customFormat="false" ht="34.2" hidden="false" customHeight="true" outlineLevel="0" collapsed="false">
      <c r="A5" s="24" t="n">
        <v>0.3375</v>
      </c>
      <c r="B5" s="21" t="n">
        <v>0</v>
      </c>
      <c r="C5" s="21" t="n">
        <v>0.055845391</v>
      </c>
      <c r="D5" s="21" t="n">
        <v>0.106244797</v>
      </c>
      <c r="E5" s="21" t="n">
        <v>0.1440443515</v>
      </c>
      <c r="F5" s="21" t="n">
        <v>0.366641728</v>
      </c>
      <c r="G5" s="21" t="n">
        <v>0.5388396985</v>
      </c>
      <c r="H5" s="21" t="n">
        <v>0.610238857</v>
      </c>
      <c r="I5" s="21" t="n">
        <v>0.811836481</v>
      </c>
      <c r="J5" s="21" t="n">
        <v>0.055845391</v>
      </c>
      <c r="K5" s="21" t="n">
        <v>1.164632323</v>
      </c>
      <c r="L5" s="21" t="n">
        <v>1.114232917</v>
      </c>
      <c r="M5" s="21" t="n">
        <v>0.937834996</v>
      </c>
      <c r="N5" s="21" t="n">
        <v>0.837036184</v>
      </c>
      <c r="O5" s="21" t="n">
        <v>0.677438065</v>
      </c>
      <c r="P5" s="21" t="n">
        <v>0.694237867</v>
      </c>
      <c r="Q5" s="21" t="n">
        <v>0</v>
      </c>
      <c r="S5" s="22" t="n">
        <f aca="false">(36+40+40+40+40+40+40+40+40+40)/(10*100)</f>
        <v>0.396</v>
      </c>
      <c r="T5" s="3" t="n">
        <v>0</v>
      </c>
      <c r="U5" s="13" t="s">
        <v>58</v>
      </c>
      <c r="V5" s="13" t="s">
        <v>59</v>
      </c>
      <c r="W5" s="13" t="s">
        <v>60</v>
      </c>
      <c r="X5" s="13" t="s">
        <v>54</v>
      </c>
      <c r="Y5" s="13" t="s">
        <v>54</v>
      </c>
      <c r="Z5" s="13" t="s">
        <v>61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67</v>
      </c>
      <c r="AG5" s="13" t="s">
        <v>54</v>
      </c>
      <c r="AH5" s="13" t="s">
        <v>54</v>
      </c>
      <c r="AI5" s="23" t="n">
        <v>0</v>
      </c>
      <c r="AK5" s="3" t="n">
        <v>0</v>
      </c>
      <c r="AL5" s="12" t="n">
        <f aca="false">0.02681652 + (0.2643411*(U12/30))</f>
        <v>0.02681652</v>
      </c>
      <c r="AM5" s="12" t="n">
        <f aca="false">0.02681652 + (0.2643411*(V12/30))</f>
        <v>0.02681652</v>
      </c>
      <c r="AN5" s="12" t="n">
        <f aca="false">0.02681652 + (0.2643411*(W12/30))</f>
        <v>0.02681652</v>
      </c>
      <c r="AO5" s="12" t="n">
        <f aca="false">0.02681652 + (0.2643411*(X12/30))</f>
        <v>0.02681652</v>
      </c>
      <c r="AP5" s="12" t="n">
        <f aca="false">0.02681652 + (0.2643411*(Y12/30))</f>
        <v>0.02681652</v>
      </c>
      <c r="AQ5" s="12" t="n">
        <f aca="false">0.02681652 + (0.2643411*(Z12/30))</f>
        <v>0.02681652</v>
      </c>
      <c r="AR5" s="12" t="n">
        <f aca="false">0.02681652 + (0.2643411*(AA12/30))</f>
        <v>0.02681652</v>
      </c>
      <c r="AS5" s="12" t="n">
        <f aca="false">0.02681652 + (0.2643411*(AB12/30))</f>
        <v>0.02681652</v>
      </c>
      <c r="AT5" s="12" t="n">
        <f aca="false">0.02681652 + (0.2643411*(AC12/30))</f>
        <v>0.02681652</v>
      </c>
      <c r="AU5" s="12" t="n">
        <f aca="false">0.02681652 + (0.2643411*(AD12/30))</f>
        <v>0.02681652</v>
      </c>
      <c r="AV5" s="12" t="n">
        <f aca="false">0.02681652 + (0.2643411*(AE12/30))</f>
        <v>0.02681652</v>
      </c>
      <c r="AW5" s="12" t="n">
        <f aca="false">0.02681652 + (0.2643411*(AF12/30))</f>
        <v>0.02681652</v>
      </c>
      <c r="AX5" s="12" t="n">
        <f aca="false">0.02681652 + (0.2643411*(AG12/30))</f>
        <v>0.02681652</v>
      </c>
      <c r="AY5" s="12" t="n">
        <f aca="false">0.02681652 + (0.2643411*(AH12/30))</f>
        <v>0.02681652</v>
      </c>
    </row>
    <row r="6" customFormat="false" ht="38.45" hidden="false" customHeight="true" outlineLevel="0" collapsed="false">
      <c r="A6" s="19" t="n">
        <v>0.223214285714286</v>
      </c>
      <c r="S6" s="6" t="n">
        <f aca="false">50/100</f>
        <v>0.5</v>
      </c>
      <c r="T6" s="3" t="n">
        <v>0</v>
      </c>
      <c r="U6" s="13" t="s">
        <v>54</v>
      </c>
      <c r="V6" s="13" t="s">
        <v>69</v>
      </c>
      <c r="W6" s="13" t="s">
        <v>54</v>
      </c>
      <c r="X6" s="13" t="s">
        <v>70</v>
      </c>
      <c r="Y6" s="13" t="s">
        <v>71</v>
      </c>
      <c r="Z6" s="13" t="s">
        <v>54</v>
      </c>
      <c r="AA6" s="13" t="s">
        <v>54</v>
      </c>
      <c r="AB6" s="13" t="s">
        <v>54</v>
      </c>
      <c r="AC6" s="13" t="s">
        <v>54</v>
      </c>
      <c r="AD6" s="13" t="s">
        <v>54</v>
      </c>
      <c r="AE6" s="13" t="s">
        <v>54</v>
      </c>
      <c r="AF6" s="13" t="s">
        <v>54</v>
      </c>
      <c r="AG6" s="13" t="s">
        <v>54</v>
      </c>
      <c r="AH6" s="13" t="s">
        <v>54</v>
      </c>
      <c r="AI6" s="23" t="n">
        <v>0</v>
      </c>
      <c r="AK6" s="3" t="n">
        <v>0</v>
      </c>
      <c r="AL6" s="12" t="n">
        <f aca="false">0.02681652 + (0.2643411*(U13/30))</f>
        <v>0.02681652</v>
      </c>
      <c r="AM6" s="12" t="n">
        <f aca="false">0.02681652 + (0.2643411*(V13/30))</f>
        <v>0.02681652</v>
      </c>
      <c r="AN6" s="12" t="n">
        <f aca="false">0.02681652 + (0.2643411*(W13/30))</f>
        <v>0.02681652</v>
      </c>
      <c r="AO6" s="12" t="n">
        <f aca="false">0.02681652 + (0.2643411*(X13/30))</f>
        <v>0.02681652</v>
      </c>
      <c r="AP6" s="12" t="n">
        <f aca="false">0.02681652 + (0.2643411*(Y13/30))</f>
        <v>0.02681652</v>
      </c>
      <c r="AQ6" s="12" t="n">
        <f aca="false">0.02681652 + (0.2643411*(Z13/30))</f>
        <v>0.02681652</v>
      </c>
      <c r="AR6" s="12" t="n">
        <f aca="false">0.02681652 + (0.2643411*(AA13/30))</f>
        <v>0.02681652</v>
      </c>
      <c r="AS6" s="12" t="n">
        <f aca="false">0.02681652 + (0.2643411*(AB13/30))</f>
        <v>0.02681652</v>
      </c>
      <c r="AT6" s="12" t="n">
        <f aca="false">0.02681652 + (0.2643411*(AC13/30))</f>
        <v>0.02681652</v>
      </c>
      <c r="AU6" s="12" t="n">
        <f aca="false">0.02681652 + (0.2643411*(AD13/30))</f>
        <v>0.02681652</v>
      </c>
      <c r="AV6" s="12" t="n">
        <f aca="false">0.02681652 + (0.2643411*(AE13/30))</f>
        <v>0.02681652</v>
      </c>
      <c r="AW6" s="12" t="n">
        <f aca="false">0.02681652 + (0.2643411*(AF13/30))</f>
        <v>0.02681652</v>
      </c>
      <c r="AX6" s="12" t="n">
        <f aca="false">0.02681652 + (0.2643411*(AG13/30))</f>
        <v>0.02681652</v>
      </c>
      <c r="AY6" s="12" t="n">
        <f aca="false">0.02681652 + (0.2643411*(AH13/30))</f>
        <v>0.02681652</v>
      </c>
    </row>
    <row r="7" customFormat="false" ht="38.45" hidden="false" customHeight="true" outlineLevel="0" collapsed="false">
      <c r="A7" s="19" t="n">
        <v>0.1</v>
      </c>
      <c r="S7" s="22" t="n">
        <f aca="false">(SUM(V9:AH9)/13)</f>
        <v>0.593076923076923</v>
      </c>
      <c r="T7" s="3" t="n">
        <v>0</v>
      </c>
      <c r="U7" s="13" t="s">
        <v>54</v>
      </c>
      <c r="V7" s="13" t="s">
        <v>73</v>
      </c>
      <c r="W7" s="13" t="s">
        <v>74</v>
      </c>
      <c r="X7" s="13" t="s">
        <v>75</v>
      </c>
      <c r="Y7" s="13" t="s">
        <v>75</v>
      </c>
      <c r="Z7" s="13" t="s">
        <v>76</v>
      </c>
      <c r="AA7" s="13" t="s">
        <v>77</v>
      </c>
      <c r="AB7" s="13" t="s">
        <v>78</v>
      </c>
      <c r="AC7" s="13" t="s">
        <v>79</v>
      </c>
      <c r="AD7" s="13" t="s">
        <v>80</v>
      </c>
      <c r="AE7" s="13" t="s">
        <v>81</v>
      </c>
      <c r="AF7" s="13" t="s">
        <v>82</v>
      </c>
      <c r="AG7" s="13" t="s">
        <v>83</v>
      </c>
      <c r="AH7" s="13" t="s">
        <v>84</v>
      </c>
      <c r="AI7" s="23" t="n">
        <v>0</v>
      </c>
      <c r="AK7" s="3" t="n">
        <v>0</v>
      </c>
      <c r="AL7" s="12" t="n">
        <f aca="false">0.02681652 + (0.2643411*(U14/30))</f>
        <v>0.02681652</v>
      </c>
      <c r="AM7" s="12" t="n">
        <f aca="false">0.02681652 + (0.2643411*(V14/30))</f>
        <v>0.02681652</v>
      </c>
      <c r="AN7" s="12" t="n">
        <f aca="false">0.02681652 + (0.2643411*(W14/30))</f>
        <v>0.02681652</v>
      </c>
      <c r="AO7" s="12" t="n">
        <f aca="false">0.02681652 + (0.2643411*(X14/30))</f>
        <v>0.02681652</v>
      </c>
      <c r="AP7" s="12" t="n">
        <f aca="false">0.02681652 + (0.2643411*(Y14/30))</f>
        <v>0.02681652</v>
      </c>
      <c r="AQ7" s="12" t="n">
        <f aca="false">0.02681652 + (0.2643411*(Z14/30))</f>
        <v>0.02681652</v>
      </c>
      <c r="AR7" s="12" t="n">
        <f aca="false">0.02681652 + (0.2643411*(AA14/30))</f>
        <v>0.02681652</v>
      </c>
      <c r="AS7" s="12" t="n">
        <f aca="false">0.02681652 + (0.2643411*(AB14/30))</f>
        <v>0.02681652</v>
      </c>
      <c r="AT7" s="12" t="n">
        <f aca="false">0.02681652 + (0.2643411*(AC14/30))</f>
        <v>0.02681652</v>
      </c>
      <c r="AU7" s="12" t="n">
        <f aca="false">0.02681652 + (0.2643411*(AD14/30))</f>
        <v>0.02681652</v>
      </c>
      <c r="AV7" s="12" t="n">
        <f aca="false">0.02681652 + (0.2643411*(AE14/30))</f>
        <v>0.02681652</v>
      </c>
      <c r="AW7" s="12" t="n">
        <f aca="false">0.02681652 + (0.2643411*(AF14/30))</f>
        <v>0.02681652</v>
      </c>
      <c r="AX7" s="12" t="n">
        <f aca="false">0.02681652 + (0.2643411*(AG14/30))</f>
        <v>0.02681652</v>
      </c>
      <c r="AY7" s="12" t="n">
        <f aca="false">0.02681652 + (0.2643411*(AH14/30))</f>
        <v>0.02681652</v>
      </c>
    </row>
    <row r="8" customFormat="false" ht="38.45" hidden="false" customHeight="true" outlineLevel="0" collapsed="false">
      <c r="T8" s="3" t="n">
        <v>0.133333333333333</v>
      </c>
      <c r="U8" s="3" t="n">
        <v>0.461666666666667</v>
      </c>
      <c r="V8" s="3" t="n">
        <v>0.7</v>
      </c>
      <c r="W8" s="3" t="n">
        <v>0.696666666666667</v>
      </c>
      <c r="X8" s="3" t="n">
        <v>0.756666666666667</v>
      </c>
      <c r="Y8" s="3" t="n">
        <v>0.78</v>
      </c>
      <c r="Z8" s="3" t="n">
        <v>0.74</v>
      </c>
      <c r="AA8" s="3" t="n">
        <v>0.713333333333333</v>
      </c>
      <c r="AB8" s="3" t="n">
        <v>0.673333333333333</v>
      </c>
      <c r="AC8" s="3" t="n">
        <v>0.686666666666667</v>
      </c>
      <c r="AD8" s="3" t="n">
        <v>0.676666666666667</v>
      </c>
      <c r="AE8" s="3" t="n">
        <v>0.706666666666667</v>
      </c>
      <c r="AF8" s="3" t="n">
        <v>0.68</v>
      </c>
      <c r="AG8" s="3" t="n">
        <v>0.62</v>
      </c>
      <c r="AH8" s="3" t="n">
        <v>0.58</v>
      </c>
      <c r="AI8" s="3" t="n">
        <v>0.5</v>
      </c>
    </row>
    <row r="9" customFormat="false" ht="33.75" hidden="false" customHeight="true" outlineLevel="0" collapsed="false">
      <c r="B9" s="20" t="s">
        <v>98</v>
      </c>
      <c r="C9" s="20" t="s">
        <v>99</v>
      </c>
      <c r="D9" s="20" t="s">
        <v>100</v>
      </c>
      <c r="E9" s="20" t="s">
        <v>101</v>
      </c>
      <c r="F9" s="20" t="s">
        <v>102</v>
      </c>
      <c r="G9" s="20" t="s">
        <v>103</v>
      </c>
      <c r="H9" s="20" t="s">
        <v>104</v>
      </c>
      <c r="I9" s="20" t="s">
        <v>105</v>
      </c>
      <c r="J9" s="20" t="s">
        <v>106</v>
      </c>
      <c r="K9" s="20" t="s">
        <v>107</v>
      </c>
      <c r="L9" s="20" t="s">
        <v>108</v>
      </c>
      <c r="M9" s="20" t="s">
        <v>109</v>
      </c>
      <c r="N9" s="20" t="s">
        <v>110</v>
      </c>
      <c r="O9" s="20" t="s">
        <v>111</v>
      </c>
      <c r="P9" s="20" t="s">
        <v>112</v>
      </c>
      <c r="Q9" s="20" t="s">
        <v>113</v>
      </c>
      <c r="V9" s="25" t="n">
        <f aca="false">V8-0.1</f>
        <v>0.6</v>
      </c>
      <c r="W9" s="25" t="n">
        <f aca="false">W8-0.1</f>
        <v>0.596666666666667</v>
      </c>
      <c r="X9" s="25" t="n">
        <f aca="false">X8-0.1</f>
        <v>0.656666666666667</v>
      </c>
      <c r="Y9" s="25" t="n">
        <f aca="false">Y8-0.1</f>
        <v>0.68</v>
      </c>
      <c r="Z9" s="25" t="n">
        <f aca="false">Z8-0.1</f>
        <v>0.64</v>
      </c>
      <c r="AA9" s="25" t="n">
        <f aca="false">AA8-0.1</f>
        <v>0.613333333333333</v>
      </c>
      <c r="AB9" s="25" t="n">
        <f aca="false">AB8-0.1</f>
        <v>0.573333333333333</v>
      </c>
      <c r="AC9" s="25" t="n">
        <f aca="false">AC8-0.1</f>
        <v>0.586666666666667</v>
      </c>
      <c r="AD9" s="25" t="n">
        <f aca="false">AD8-0.1</f>
        <v>0.576666666666667</v>
      </c>
      <c r="AE9" s="25" t="n">
        <f aca="false">AE8-0.1</f>
        <v>0.606666666666667</v>
      </c>
      <c r="AF9" s="25" t="n">
        <f aca="false">AF8-0.1</f>
        <v>0.58</v>
      </c>
      <c r="AG9" s="25" t="n">
        <f aca="false">AG8-0.1</f>
        <v>0.52</v>
      </c>
      <c r="AH9" s="25" t="n">
        <f aca="false">AH8-0.1</f>
        <v>0.48</v>
      </c>
    </row>
    <row r="10" customFormat="false" ht="44.75" hidden="false" customHeight="true" outlineLevel="0" collapsed="false">
      <c r="A10" s="20" t="s">
        <v>114</v>
      </c>
      <c r="B10" s="23" t="n">
        <v>0</v>
      </c>
      <c r="C10" s="26" t="n">
        <f aca="false">(C4+C5)*(A4-A5)/2</f>
        <v>0.003881198134125</v>
      </c>
      <c r="D10" s="23" t="n">
        <f aca="false">((D5+D4)*(A4-A5)/2)+((D4+D3)*(A3-A4)/2)</f>
        <v>0.053245755446</v>
      </c>
      <c r="E10" s="23" t="n">
        <f aca="false">((E4+E5)*($A$4-$A$5)/2)+((E3+E4)*($A$3-$A$4)/2)+((E2+E3)*($A$2-$A$3)/2)</f>
        <v>0.135898513583077</v>
      </c>
      <c r="F10" s="23" t="n">
        <f aca="false">((F4+F5)*($A$4-$A$5)/2)+((F3+F4)*($A$3-$A$4)/2)+((F2+F3)*($A$2-$A$3)/2)</f>
        <v>0.169404345611337</v>
      </c>
      <c r="G10" s="23" t="n">
        <f aca="false">((G4+G5)*($A$4-$A$5)/2)+((G3+G4)*($A$3-$A$4)/2)+((G2+G3)*($A$2-$A$3)/2)</f>
        <v>0.181579436732885</v>
      </c>
      <c r="H10" s="23" t="n">
        <f aca="false">((H4+H5)*($A$4-$A$5)/2)+((H3+H4)*($A$3-$A$4)/2)+((H2+H3)*($A$2-$A$3)/2)</f>
        <v>0.183130187686731</v>
      </c>
      <c r="I10" s="23" t="n">
        <f aca="false">((I4+I5)*($A$4-$A$5)/2)+((I3+I4)*($A$3-$A$4)/2)+((I2+I3)*($A$2-$A$3)/2)</f>
        <v>0.207727036253423</v>
      </c>
      <c r="J10" s="23" t="n">
        <f aca="false">((J4+J5)*($A$4-$A$5)/2)+((J3+J4)*($A$3-$A$4)/2)</f>
        <v>0.133943604353</v>
      </c>
      <c r="K10" s="23" t="n">
        <f aca="false">((K4+K5)*($A$4-$A$5)/2)+((K3+K4)*($A$3-$A$4)/2)</f>
        <v>0.183151274398625</v>
      </c>
      <c r="L10" s="23" t="n">
        <f aca="false">((L4+L5)*($A$4-$A$5)/2)+((L3+L4)*($A$3-$A$4)/2)</f>
        <v>0.184079463459125</v>
      </c>
      <c r="M10" s="23" t="n">
        <f aca="false">((M4+M5)*($A$4-$A$5)/2)+((M3+M4)*($A$3-$A$4)/2)</f>
        <v>0.1583495167085</v>
      </c>
      <c r="N10" s="23" t="n">
        <f aca="false">((N4+N5)*($A$4-$A$5)/2)+((N3+N4)*($A$3-$A$4)/2)</f>
        <v>0.13375250660525</v>
      </c>
      <c r="O10" s="23" t="n">
        <f aca="false">((O4+O5)*($A$4-$A$5)/2)+((O3+O4)*($A$3-$A$4)/2)</f>
        <v>0.112827303226625</v>
      </c>
      <c r="P10" s="23" t="n">
        <f aca="false">((P4+P5)*($A$4-$A$5)/2)+((P3+P4)*($A$3-$A$4)/2)</f>
        <v>0.096502095633125</v>
      </c>
      <c r="Q10" s="23" t="n">
        <v>0</v>
      </c>
    </row>
    <row r="11" customFormat="false" ht="52.6" hidden="false" customHeight="true" outlineLevel="0" collapsed="false">
      <c r="A11" s="20" t="s">
        <v>93</v>
      </c>
      <c r="B11" s="3" t="n">
        <v>0.5</v>
      </c>
      <c r="C11" s="3" t="n">
        <f aca="false">B11+0.5</f>
        <v>1</v>
      </c>
      <c r="D11" s="3" t="n">
        <f aca="false">C11+0.5</f>
        <v>1.5</v>
      </c>
      <c r="E11" s="3" t="n">
        <f aca="false">D11+0.5</f>
        <v>2</v>
      </c>
      <c r="F11" s="3" t="n">
        <f aca="false">E11+0.5</f>
        <v>2.5</v>
      </c>
      <c r="G11" s="3" t="n">
        <f aca="false">F11+0.5</f>
        <v>3</v>
      </c>
      <c r="H11" s="3" t="n">
        <f aca="false">G11+0.5</f>
        <v>3.5</v>
      </c>
      <c r="I11" s="3" t="n">
        <f aca="false">H11+0.5</f>
        <v>4</v>
      </c>
      <c r="J11" s="3" t="n">
        <f aca="false">I11+0.5</f>
        <v>4.5</v>
      </c>
      <c r="K11" s="3" t="n">
        <f aca="false">J11+0.5</f>
        <v>5</v>
      </c>
      <c r="L11" s="3" t="n">
        <f aca="false">K11+0.5</f>
        <v>5.5</v>
      </c>
      <c r="M11" s="3" t="n">
        <f aca="false">L11+0.5</f>
        <v>6</v>
      </c>
      <c r="N11" s="3" t="n">
        <f aca="false">M11+0.5</f>
        <v>6.5</v>
      </c>
      <c r="O11" s="3" t="n">
        <f aca="false">N11+0.5</f>
        <v>7</v>
      </c>
      <c r="P11" s="3" t="n">
        <f aca="false">O11+0.5</f>
        <v>7.5</v>
      </c>
      <c r="Q11" s="3" t="n">
        <f aca="false">P11+0.5</f>
        <v>8</v>
      </c>
    </row>
    <row r="12" customFormat="false" ht="47.1" hidden="false" customHeight="true" outlineLevel="0" collapsed="false">
      <c r="A12" s="20" t="s">
        <v>115</v>
      </c>
      <c r="B12" s="23" t="n">
        <f aca="false">(C11-B11)*B10</f>
        <v>0</v>
      </c>
      <c r="C12" s="23" t="n">
        <f aca="false">(D11-C11)*C10</f>
        <v>0.0019405990670625</v>
      </c>
      <c r="D12" s="23" t="n">
        <f aca="false">(E11-D11)*D10</f>
        <v>0.026622877723</v>
      </c>
      <c r="E12" s="23" t="n">
        <f aca="false">(F11-E11)*E10</f>
        <v>0.0679492567915385</v>
      </c>
      <c r="F12" s="23" t="n">
        <f aca="false">(G11-F11)*F10</f>
        <v>0.0847021728056683</v>
      </c>
      <c r="G12" s="23" t="n">
        <f aca="false">(H11-G11)*G10</f>
        <v>0.0907897183664423</v>
      </c>
      <c r="H12" s="23" t="n">
        <f aca="false">(I11-H11)*H10</f>
        <v>0.0915650938433654</v>
      </c>
      <c r="I12" s="23" t="n">
        <f aca="false">(J11-I11)*I10</f>
        <v>0.103863518126712</v>
      </c>
      <c r="J12" s="23" t="n">
        <f aca="false">(K11-J11)*J10</f>
        <v>0.0669718021765</v>
      </c>
      <c r="K12" s="23" t="n">
        <f aca="false">(L11-K11)*K10</f>
        <v>0.0915756371993125</v>
      </c>
      <c r="L12" s="23" t="n">
        <f aca="false">(M11-L11)*L10</f>
        <v>0.0920397317295625</v>
      </c>
      <c r="M12" s="23" t="n">
        <f aca="false">(N11-M11)*M10</f>
        <v>0.07917475835425</v>
      </c>
      <c r="N12" s="23" t="n">
        <f aca="false">(O11-N11)*N10</f>
        <v>0.066876253302625</v>
      </c>
      <c r="O12" s="23" t="n">
        <f aca="false">(P11-O11)*O10</f>
        <v>0.0564136516133125</v>
      </c>
      <c r="P12" s="23" t="n">
        <f aca="false">(Q11-P11)*P10</f>
        <v>0.0482510478165625</v>
      </c>
      <c r="Q12" s="23" t="n">
        <f aca="false">(R11-Q11)*Q10</f>
        <v>-0</v>
      </c>
    </row>
    <row r="13" customFormat="false" ht="41.6" hidden="false" customHeight="true" outlineLevel="0" collapsed="false">
      <c r="A13" s="20" t="s">
        <v>116</v>
      </c>
      <c r="B13" s="20"/>
      <c r="C13" s="23" t="n">
        <f aca="false">SUM(B12:Q12)</f>
        <v>0.968736118915914</v>
      </c>
      <c r="D13" s="23"/>
    </row>
  </sheetData>
  <mergeCells count="2">
    <mergeCell ref="A13:B13"/>
    <mergeCell ref="C13:D13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Roman,Normal"&amp;12&amp;Kffffff&amp;A</oddHeader>
    <oddFooter>&amp;C&amp;"Times New Roman,Normal"&amp;12&amp;KffffffPágina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Q28"/>
  <sheetViews>
    <sheetView showFormulas="false" showGridLines="true" showRowColHeaders="true" showZeros="true" rightToLeft="false" tabSelected="false" showOutlineSymbols="true" defaultGridColor="true" view="normal" topLeftCell="A13" colorId="64" zoomScale="85" zoomScaleNormal="85" zoomScalePageLayoutView="100" workbookViewId="0">
      <selection pane="topLeft" activeCell="Y8" activeCellId="1" sqref="AK2:AK7 Y8"/>
    </sheetView>
  </sheetViews>
  <sheetFormatPr defaultColWidth="8.6796875" defaultRowHeight="13.8" zeroHeight="false" outlineLevelRow="0" outlineLevelCol="0"/>
  <cols>
    <col collapsed="false" customWidth="true" hidden="false" outlineLevel="0" max="1" min="1" style="4" width="24.2"/>
    <col collapsed="false" customWidth="true" hidden="false" outlineLevel="0" max="16" min="16" style="4" width="11.82"/>
    <col collapsed="false" customWidth="true" hidden="false" outlineLevel="0" max="18" min="18" style="4" width="14.46"/>
  </cols>
  <sheetData>
    <row r="1" customFormat="false" ht="41" hidden="false" customHeight="true" outlineLevel="0" collapsed="false">
      <c r="A1" s="27" t="s">
        <v>85</v>
      </c>
      <c r="B1" s="28" t="s">
        <v>99</v>
      </c>
      <c r="C1" s="28" t="s">
        <v>100</v>
      </c>
      <c r="D1" s="28" t="s">
        <v>101</v>
      </c>
      <c r="E1" s="28" t="s">
        <v>102</v>
      </c>
      <c r="F1" s="28" t="s">
        <v>103</v>
      </c>
      <c r="G1" s="28" t="s">
        <v>104</v>
      </c>
      <c r="H1" s="28" t="s">
        <v>105</v>
      </c>
      <c r="I1" s="28" t="s">
        <v>106</v>
      </c>
      <c r="J1" s="28" t="s">
        <v>107</v>
      </c>
      <c r="K1" s="28" t="s">
        <v>108</v>
      </c>
      <c r="L1" s="28" t="s">
        <v>109</v>
      </c>
      <c r="M1" s="28" t="s">
        <v>110</v>
      </c>
      <c r="N1" s="28" t="s">
        <v>111</v>
      </c>
      <c r="O1" s="28" t="s">
        <v>112</v>
      </c>
      <c r="P1" s="0"/>
      <c r="Q1" s="27" t="s">
        <v>85</v>
      </c>
      <c r="R1" s="28" t="s">
        <v>99</v>
      </c>
      <c r="S1" s="28" t="s">
        <v>100</v>
      </c>
      <c r="T1" s="28" t="s">
        <v>101</v>
      </c>
      <c r="U1" s="28" t="s">
        <v>102</v>
      </c>
      <c r="V1" s="28" t="s">
        <v>103</v>
      </c>
      <c r="W1" s="28" t="s">
        <v>104</v>
      </c>
      <c r="X1" s="28" t="s">
        <v>105</v>
      </c>
      <c r="Y1" s="28" t="s">
        <v>106</v>
      </c>
      <c r="Z1" s="28" t="s">
        <v>107</v>
      </c>
      <c r="AA1" s="28" t="s">
        <v>108</v>
      </c>
      <c r="AB1" s="28" t="s">
        <v>109</v>
      </c>
      <c r="AC1" s="28" t="s">
        <v>110</v>
      </c>
      <c r="AD1" s="28" t="s">
        <v>111</v>
      </c>
      <c r="AE1" s="28" t="s">
        <v>112</v>
      </c>
      <c r="AR1" s="4"/>
      <c r="AS1" s="4"/>
      <c r="AT1" s="4"/>
      <c r="AU1" s="4"/>
      <c r="AV1" s="4"/>
      <c r="AW1" s="4"/>
      <c r="AX1" s="4"/>
      <c r="AY1" s="4"/>
      <c r="BA1" s="9"/>
      <c r="BB1" s="10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</row>
    <row r="2" customFormat="false" ht="43.25" hidden="false" customHeight="true" outlineLevel="0" collapsed="false">
      <c r="A2" s="28" t="s">
        <v>117</v>
      </c>
      <c r="B2" s="29" t="s">
        <v>54</v>
      </c>
      <c r="C2" s="29" t="s">
        <v>54</v>
      </c>
      <c r="D2" s="29" t="n">
        <v>82</v>
      </c>
      <c r="E2" s="29" t="n">
        <v>82</v>
      </c>
      <c r="F2" s="29" t="n">
        <v>81</v>
      </c>
      <c r="G2" s="29" t="n">
        <v>75</v>
      </c>
      <c r="H2" s="29" t="n">
        <v>84</v>
      </c>
      <c r="I2" s="29" t="s">
        <v>54</v>
      </c>
      <c r="J2" s="29" t="s">
        <v>54</v>
      </c>
      <c r="K2" s="29" t="s">
        <v>54</v>
      </c>
      <c r="L2" s="29" t="s">
        <v>54</v>
      </c>
      <c r="M2" s="29" t="s">
        <v>54</v>
      </c>
      <c r="N2" s="29" t="s">
        <v>54</v>
      </c>
      <c r="O2" s="29" t="s">
        <v>54</v>
      </c>
      <c r="P2" s="0"/>
      <c r="Q2" s="28" t="s">
        <v>117</v>
      </c>
      <c r="R2" s="29" t="s">
        <v>54</v>
      </c>
      <c r="S2" s="29" t="s">
        <v>54</v>
      </c>
      <c r="T2" s="29" t="n">
        <f aca="false">(D2)/30</f>
        <v>2.73333333333333</v>
      </c>
      <c r="U2" s="29" t="n">
        <f aca="false">(E2)/30</f>
        <v>2.73333333333333</v>
      </c>
      <c r="V2" s="29" t="n">
        <f aca="false">(F2)/30</f>
        <v>2.7</v>
      </c>
      <c r="W2" s="29" t="n">
        <f aca="false">(G2)/30</f>
        <v>2.5</v>
      </c>
      <c r="X2" s="29" t="n">
        <f aca="false">(H2)/30</f>
        <v>2.8</v>
      </c>
      <c r="Y2" s="29" t="s">
        <v>54</v>
      </c>
      <c r="Z2" s="29" t="s">
        <v>54</v>
      </c>
      <c r="AA2" s="29" t="s">
        <v>54</v>
      </c>
      <c r="AB2" s="29" t="s">
        <v>54</v>
      </c>
      <c r="AC2" s="29" t="s">
        <v>54</v>
      </c>
      <c r="AD2" s="29" t="s">
        <v>54</v>
      </c>
      <c r="AE2" s="29" t="s">
        <v>54</v>
      </c>
      <c r="AR2" s="1"/>
      <c r="AS2" s="1"/>
      <c r="AT2" s="1"/>
      <c r="AU2" s="1"/>
      <c r="AV2" s="1"/>
      <c r="AW2" s="1"/>
      <c r="AX2" s="1"/>
      <c r="AY2" s="1"/>
      <c r="BA2" s="10"/>
      <c r="BB2" s="10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</row>
    <row r="3" customFormat="false" ht="60.4" hidden="false" customHeight="true" outlineLevel="0" collapsed="false">
      <c r="A3" s="28" t="s">
        <v>118</v>
      </c>
      <c r="B3" s="29" t="s">
        <v>54</v>
      </c>
      <c r="C3" s="29" t="n">
        <v>55</v>
      </c>
      <c r="D3" s="29" t="n">
        <v>74</v>
      </c>
      <c r="E3" s="29" t="n">
        <v>86</v>
      </c>
      <c r="F3" s="29" t="n">
        <v>88.5</v>
      </c>
      <c r="G3" s="29" t="n">
        <v>84.5</v>
      </c>
      <c r="H3" s="29" t="n">
        <v>88</v>
      </c>
      <c r="I3" s="29" t="n">
        <v>102.5</v>
      </c>
      <c r="J3" s="29" t="n">
        <v>124.5</v>
      </c>
      <c r="K3" s="29" t="n">
        <v>130</v>
      </c>
      <c r="L3" s="29" t="n">
        <v>116.5</v>
      </c>
      <c r="M3" s="29" t="n">
        <v>93.5</v>
      </c>
      <c r="N3" s="29" t="n">
        <v>80.5</v>
      </c>
      <c r="O3" s="29" t="n">
        <v>54.5</v>
      </c>
      <c r="P3" s="0"/>
      <c r="Q3" s="28" t="s">
        <v>118</v>
      </c>
      <c r="R3" s="29" t="s">
        <v>54</v>
      </c>
      <c r="S3" s="29" t="n">
        <f aca="false">(C3)/30</f>
        <v>1.83333333333333</v>
      </c>
      <c r="T3" s="29" t="n">
        <f aca="false">(D3)/30</f>
        <v>2.46666666666667</v>
      </c>
      <c r="U3" s="29" t="n">
        <f aca="false">(E3)/30</f>
        <v>2.86666666666667</v>
      </c>
      <c r="V3" s="29" t="n">
        <f aca="false">(F3)/30</f>
        <v>2.95</v>
      </c>
      <c r="W3" s="29" t="n">
        <f aca="false">(G3)/30</f>
        <v>2.81666666666667</v>
      </c>
      <c r="X3" s="29" t="n">
        <f aca="false">(H3)/30</f>
        <v>2.93333333333333</v>
      </c>
      <c r="Y3" s="29" t="n">
        <f aca="false">(I3)/30</f>
        <v>3.41666666666667</v>
      </c>
      <c r="Z3" s="29" t="n">
        <f aca="false">(J3)/30</f>
        <v>4.15</v>
      </c>
      <c r="AA3" s="29" t="n">
        <f aca="false">(K3)/30</f>
        <v>4.33333333333333</v>
      </c>
      <c r="AB3" s="29" t="n">
        <f aca="false">(L3)/30</f>
        <v>3.88333333333333</v>
      </c>
      <c r="AC3" s="29" t="n">
        <f aca="false">(M3)/30</f>
        <v>3.11666666666667</v>
      </c>
      <c r="AD3" s="29" t="n">
        <f aca="false">(N3)/30</f>
        <v>2.68333333333333</v>
      </c>
      <c r="AE3" s="29" t="n">
        <f aca="false">(O3)/30</f>
        <v>1.81666666666667</v>
      </c>
      <c r="AR3" s="1"/>
      <c r="AS3" s="1"/>
      <c r="AT3" s="1"/>
      <c r="AU3" s="1"/>
      <c r="AV3" s="1"/>
      <c r="AW3" s="1"/>
      <c r="AX3" s="1"/>
      <c r="AY3" s="1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</row>
    <row r="4" customFormat="false" ht="48.5" hidden="false" customHeight="true" outlineLevel="0" collapsed="false">
      <c r="A4" s="28" t="s">
        <v>119</v>
      </c>
      <c r="B4" s="29" t="n">
        <v>3.5</v>
      </c>
      <c r="C4" s="29" t="n">
        <v>29</v>
      </c>
      <c r="D4" s="29" t="n">
        <v>40.5</v>
      </c>
      <c r="E4" s="29" t="n">
        <v>65.5</v>
      </c>
      <c r="F4" s="29" t="n">
        <v>73.5</v>
      </c>
      <c r="G4" s="29" t="n">
        <v>81</v>
      </c>
      <c r="H4" s="29" t="n">
        <v>99</v>
      </c>
      <c r="I4" s="29" t="n">
        <v>119</v>
      </c>
      <c r="J4" s="29" t="n">
        <v>129.5</v>
      </c>
      <c r="K4" s="29" t="n">
        <v>129.5</v>
      </c>
      <c r="L4" s="29" t="n">
        <v>108</v>
      </c>
      <c r="M4" s="29" t="n">
        <v>91</v>
      </c>
      <c r="N4" s="29" t="n">
        <v>75.5</v>
      </c>
      <c r="O4" s="29" t="n">
        <v>67.5</v>
      </c>
      <c r="P4" s="0"/>
      <c r="Q4" s="28" t="s">
        <v>119</v>
      </c>
      <c r="R4" s="29" t="n">
        <f aca="false">(B4)/30</f>
        <v>0.116666666666667</v>
      </c>
      <c r="S4" s="29" t="n">
        <f aca="false">(C4)/30</f>
        <v>0.966666666666667</v>
      </c>
      <c r="T4" s="29" t="n">
        <f aca="false">(D4)/30</f>
        <v>1.35</v>
      </c>
      <c r="U4" s="29" t="n">
        <f aca="false">(E4)/30</f>
        <v>2.18333333333333</v>
      </c>
      <c r="V4" s="29" t="n">
        <f aca="false">(F4)/30</f>
        <v>2.45</v>
      </c>
      <c r="W4" s="29" t="n">
        <f aca="false">(G4)/30</f>
        <v>2.7</v>
      </c>
      <c r="X4" s="29" t="n">
        <f aca="false">(H4)/30</f>
        <v>3.3</v>
      </c>
      <c r="Y4" s="29" t="n">
        <f aca="false">(I4)/30</f>
        <v>3.96666666666667</v>
      </c>
      <c r="Z4" s="29" t="n">
        <f aca="false">(J4)/30</f>
        <v>4.31666666666667</v>
      </c>
      <c r="AA4" s="29" t="n">
        <f aca="false">(K4)/30</f>
        <v>4.31666666666667</v>
      </c>
      <c r="AB4" s="29" t="n">
        <f aca="false">(L4)/30</f>
        <v>3.6</v>
      </c>
      <c r="AC4" s="29" t="n">
        <f aca="false">(M4)/30</f>
        <v>3.03333333333333</v>
      </c>
      <c r="AD4" s="29" t="n">
        <f aca="false">(N4)/30</f>
        <v>2.51666666666667</v>
      </c>
      <c r="AE4" s="29" t="n">
        <f aca="false">(O4)/30</f>
        <v>2.25</v>
      </c>
      <c r="AR4" s="1"/>
      <c r="AS4" s="1"/>
      <c r="AT4" s="1"/>
      <c r="AU4" s="1"/>
      <c r="AV4" s="1"/>
      <c r="AW4" s="1"/>
      <c r="AX4" s="1"/>
      <c r="AY4" s="1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</row>
    <row r="5" customFormat="false" ht="47" hidden="false" customHeight="true" outlineLevel="0" collapsed="false">
      <c r="A5" s="28" t="s">
        <v>120</v>
      </c>
      <c r="B5" s="29" t="n">
        <v>1</v>
      </c>
      <c r="C5" s="29" t="n">
        <v>7</v>
      </c>
      <c r="D5" s="29" t="n">
        <v>11.5</v>
      </c>
      <c r="E5" s="29" t="n">
        <v>38</v>
      </c>
      <c r="F5" s="29" t="n">
        <v>58.5</v>
      </c>
      <c r="G5" s="29" t="n">
        <v>67</v>
      </c>
      <c r="H5" s="29" t="n">
        <v>91</v>
      </c>
      <c r="I5" s="29" t="n">
        <v>1</v>
      </c>
      <c r="J5" s="29" t="n">
        <v>133</v>
      </c>
      <c r="K5" s="29" t="n">
        <v>127</v>
      </c>
      <c r="L5" s="29" t="n">
        <v>106</v>
      </c>
      <c r="M5" s="29" t="n">
        <v>94</v>
      </c>
      <c r="N5" s="29" t="n">
        <v>75</v>
      </c>
      <c r="O5" s="29" t="n">
        <v>77</v>
      </c>
      <c r="P5" s="0"/>
      <c r="Q5" s="28" t="s">
        <v>120</v>
      </c>
      <c r="R5" s="29" t="n">
        <f aca="false">(B5)/30</f>
        <v>0.0333333333333333</v>
      </c>
      <c r="S5" s="29" t="n">
        <f aca="false">(C5)/30</f>
        <v>0.233333333333333</v>
      </c>
      <c r="T5" s="29" t="n">
        <f aca="false">(D5)/30</f>
        <v>0.383333333333333</v>
      </c>
      <c r="U5" s="29" t="n">
        <f aca="false">(E5)/30</f>
        <v>1.26666666666667</v>
      </c>
      <c r="V5" s="29" t="n">
        <f aca="false">(F5)/30</f>
        <v>1.95</v>
      </c>
      <c r="W5" s="29" t="n">
        <f aca="false">(G5)/30</f>
        <v>2.23333333333333</v>
      </c>
      <c r="X5" s="29" t="n">
        <f aca="false">(H5)/30</f>
        <v>3.03333333333333</v>
      </c>
      <c r="Y5" s="29" t="n">
        <f aca="false">(I5)/30</f>
        <v>0.0333333333333333</v>
      </c>
      <c r="Z5" s="29" t="n">
        <f aca="false">(J5)/30</f>
        <v>4.43333333333333</v>
      </c>
      <c r="AA5" s="29" t="n">
        <f aca="false">(K5)/30</f>
        <v>4.23333333333333</v>
      </c>
      <c r="AB5" s="29" t="n">
        <f aca="false">(L5)/30</f>
        <v>3.53333333333333</v>
      </c>
      <c r="AC5" s="29" t="n">
        <f aca="false">(M5)/30</f>
        <v>3.13333333333333</v>
      </c>
      <c r="AD5" s="29" t="n">
        <f aca="false">(N5)/30</f>
        <v>2.5</v>
      </c>
      <c r="AE5" s="29" t="n">
        <f aca="false">(O5)/30</f>
        <v>2.56666666666667</v>
      </c>
      <c r="AR5" s="1"/>
      <c r="AS5" s="1"/>
      <c r="AT5" s="1"/>
      <c r="AU5" s="1"/>
      <c r="AV5" s="1"/>
      <c r="AW5" s="1"/>
      <c r="AX5" s="1"/>
      <c r="AY5" s="1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</row>
    <row r="6" customFormat="false" ht="44" hidden="false" customHeight="true" outlineLevel="0" collapsed="false">
      <c r="A6" s="0"/>
      <c r="P6" s="0"/>
      <c r="R6" s="0"/>
      <c r="AR6" s="1"/>
      <c r="AS6" s="1"/>
      <c r="AT6" s="1"/>
      <c r="AU6" s="1"/>
      <c r="AV6" s="1"/>
      <c r="AW6" s="1"/>
      <c r="AX6" s="1"/>
      <c r="AY6" s="1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</row>
    <row r="7" customFormat="false" ht="47.75" hidden="false" customHeight="true" outlineLevel="0" collapsed="false">
      <c r="A7" s="30" t="s">
        <v>97</v>
      </c>
      <c r="B7" s="20" t="s">
        <v>98</v>
      </c>
      <c r="C7" s="20" t="s">
        <v>99</v>
      </c>
      <c r="D7" s="20" t="s">
        <v>100</v>
      </c>
      <c r="E7" s="20" t="s">
        <v>101</v>
      </c>
      <c r="F7" s="20" t="s">
        <v>102</v>
      </c>
      <c r="G7" s="20" t="s">
        <v>103</v>
      </c>
      <c r="H7" s="20" t="s">
        <v>104</v>
      </c>
      <c r="I7" s="20" t="s">
        <v>105</v>
      </c>
      <c r="J7" s="20" t="s">
        <v>106</v>
      </c>
      <c r="K7" s="20" t="s">
        <v>107</v>
      </c>
      <c r="L7" s="20" t="s">
        <v>108</v>
      </c>
      <c r="M7" s="20" t="s">
        <v>109</v>
      </c>
      <c r="N7" s="20" t="s">
        <v>110</v>
      </c>
      <c r="O7" s="20" t="s">
        <v>111</v>
      </c>
      <c r="P7" s="20" t="s">
        <v>112</v>
      </c>
      <c r="Q7" s="20" t="s">
        <v>113</v>
      </c>
      <c r="R7" s="0"/>
      <c r="S7" s="10" t="s">
        <v>87</v>
      </c>
      <c r="T7" s="6" t="s">
        <v>0</v>
      </c>
      <c r="U7" s="6" t="s">
        <v>1</v>
      </c>
      <c r="V7" s="6" t="s">
        <v>2</v>
      </c>
      <c r="W7" s="6" t="s">
        <v>3</v>
      </c>
      <c r="X7" s="6" t="s">
        <v>4</v>
      </c>
      <c r="Y7" s="6" t="s">
        <v>5</v>
      </c>
      <c r="Z7" s="6" t="s">
        <v>6</v>
      </c>
      <c r="AA7" s="6" t="s">
        <v>7</v>
      </c>
      <c r="AB7" s="6" t="s">
        <v>8</v>
      </c>
      <c r="AC7" s="6" t="s">
        <v>9</v>
      </c>
      <c r="AD7" s="6" t="s">
        <v>10</v>
      </c>
      <c r="AE7" s="6" t="s">
        <v>11</v>
      </c>
      <c r="AF7" s="6" t="s">
        <v>12</v>
      </c>
      <c r="AG7" s="6" t="s">
        <v>13</v>
      </c>
      <c r="AH7" s="6" t="s">
        <v>14</v>
      </c>
      <c r="AI7" s="6" t="s">
        <v>15</v>
      </c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</row>
    <row r="8" customFormat="false" ht="66.65" hidden="false" customHeight="true" outlineLevel="0" collapsed="false">
      <c r="A8" s="20" t="s">
        <v>117</v>
      </c>
      <c r="B8" s="21" t="n">
        <v>0</v>
      </c>
      <c r="C8" s="21" t="s">
        <v>54</v>
      </c>
      <c r="D8" s="21" t="s">
        <v>54</v>
      </c>
      <c r="E8" s="21" t="n">
        <f aca="false">(0.04744549) + (0.25199703*T2)</f>
        <v>0.736237372</v>
      </c>
      <c r="F8" s="21" t="n">
        <f aca="false">(0.04744549) + (0.25199703*U2)</f>
        <v>0.736237372</v>
      </c>
      <c r="G8" s="21" t="n">
        <f aca="false">(0.04744549) + (0.25199703*V2)</f>
        <v>0.727837471</v>
      </c>
      <c r="H8" s="21" t="n">
        <f aca="false">(0.04744549) + (0.25199703*W2)</f>
        <v>0.677438065</v>
      </c>
      <c r="I8" s="21" t="n">
        <f aca="false">(0.04744549) + (0.25199703*X2)</f>
        <v>0.753037174</v>
      </c>
      <c r="J8" s="21" t="s">
        <v>54</v>
      </c>
      <c r="K8" s="21" t="s">
        <v>54</v>
      </c>
      <c r="L8" s="21" t="s">
        <v>54</v>
      </c>
      <c r="M8" s="21" t="s">
        <v>54</v>
      </c>
      <c r="N8" s="21" t="s">
        <v>54</v>
      </c>
      <c r="O8" s="21" t="s">
        <v>54</v>
      </c>
      <c r="P8" s="21" t="s">
        <v>54</v>
      </c>
      <c r="Q8" s="21" t="n">
        <v>0</v>
      </c>
      <c r="R8" s="0"/>
      <c r="S8" s="6" t="s">
        <v>89</v>
      </c>
      <c r="T8" s="3" t="n">
        <f aca="false">(B8+(2*(SUM(B9:B10)+B11))/6)</f>
        <v>0</v>
      </c>
      <c r="U8" s="3" t="n">
        <f aca="false">(C10+C11)/2</f>
        <v>0.06634526725</v>
      </c>
      <c r="V8" s="3" t="n">
        <f aca="false">(D9+(2*D10)+D11)/4</f>
        <v>0.29944252</v>
      </c>
      <c r="W8" s="3" t="n">
        <f aca="false">(E8+(2*(SUM(E9:E10)+E11))/6)</f>
        <v>1.136478704</v>
      </c>
      <c r="X8" s="3" t="n">
        <f aca="false">(F8+(2*(SUM(F9:F10)+F11))/6)</f>
        <v>1.3142766085</v>
      </c>
      <c r="Y8" s="3" t="n">
        <f aca="false">(G8+(2*(SUM(G9:G10)+G11))/6)</f>
        <v>1.3926756845</v>
      </c>
      <c r="Z8" s="3" t="n">
        <f aca="false">(H8+(2*(SUM(H9:H10)+H11))/6)</f>
        <v>1.3758758825</v>
      </c>
      <c r="AA8" s="3" t="n">
        <f aca="false">(I8+(2*(SUM(I9:I10)+I11))/6)</f>
        <v>1.57887349</v>
      </c>
      <c r="AB8" s="3" t="n">
        <f aca="false">(J9+(2*J10)+J11)/4</f>
        <v>0.764587037875</v>
      </c>
      <c r="AC8" s="3" t="n">
        <f aca="false">(K9+(2*(SUM(K10)+K11))/4)</f>
        <v>2.24316566075</v>
      </c>
      <c r="AD8" s="3" t="n">
        <f aca="false">(L9+(2*(SUM(L10)+L11))/4)</f>
        <v>2.26416541325</v>
      </c>
      <c r="AE8" s="3" t="n">
        <f aca="false">(M9+(2*(SUM(M10)+M11))/4)</f>
        <v>1.9722688535</v>
      </c>
      <c r="AF8" s="3" t="n">
        <f aca="false">(N9+(2*(SUM(N10)+N11))/4)</f>
        <v>1.657272566</v>
      </c>
      <c r="AG8" s="3" t="n">
        <f aca="false">(O9+(2*(SUM(O10)+O11))/4)</f>
        <v>1.40317556075</v>
      </c>
      <c r="AH8" s="3" t="n">
        <f aca="false">(P9+(2*(SUM(P10)+P11))/4)</f>
        <v>1.15957843175</v>
      </c>
      <c r="AI8" s="3" t="n">
        <f aca="false">(Q8+(2*(SUM(Q9:Q10)+Q11))/6)</f>
        <v>0</v>
      </c>
    </row>
    <row r="9" customFormat="false" ht="49.25" hidden="false" customHeight="true" outlineLevel="0" collapsed="false">
      <c r="A9" s="20" t="s">
        <v>118</v>
      </c>
      <c r="B9" s="21" t="n">
        <v>0</v>
      </c>
      <c r="C9" s="21" t="s">
        <v>54</v>
      </c>
      <c r="D9" s="21" t="n">
        <f aca="false">(0.04744549) + (0.25199703*S3)</f>
        <v>0.509440045</v>
      </c>
      <c r="E9" s="21" t="n">
        <f aca="false">(0.04744549) + (0.25199703*T3)</f>
        <v>0.669038164</v>
      </c>
      <c r="F9" s="21" t="n">
        <f aca="false">(0.04744549) + (0.25199703*U3)</f>
        <v>0.769836976</v>
      </c>
      <c r="G9" s="21" t="n">
        <f aca="false">(0.04744549) + (0.25199703*V3)</f>
        <v>0.7908367285</v>
      </c>
      <c r="H9" s="21" t="n">
        <f aca="false">(0.04744549) + (0.25199703*W3)</f>
        <v>0.7572371245</v>
      </c>
      <c r="I9" s="21" t="n">
        <f aca="false">(0.04744549) + (0.25199703*X3)</f>
        <v>0.786636778</v>
      </c>
      <c r="J9" s="21" t="n">
        <f aca="false">(0.04744549) + (0.25199703*Y3)</f>
        <v>0.9084353425</v>
      </c>
      <c r="K9" s="21" t="n">
        <f aca="false">(0.04744549) + (0.25199703*Z3)</f>
        <v>1.0932331645</v>
      </c>
      <c r="L9" s="21" t="n">
        <f aca="false">(0.04744549) + (0.25199703*AA3)</f>
        <v>1.13943262</v>
      </c>
      <c r="M9" s="21" t="n">
        <f aca="false">(0.04744549) + (0.25199703*AB3)</f>
        <v>1.0260339565</v>
      </c>
      <c r="N9" s="21" t="n">
        <f aca="false">(0.04744549) + (0.25199703*AC3)</f>
        <v>0.8328362335</v>
      </c>
      <c r="O9" s="21" t="n">
        <f aca="false">(0.04744549) + (0.25199703*AD3)</f>
        <v>0.7236375205</v>
      </c>
      <c r="P9" s="21" t="n">
        <f aca="false">(0.04744549) + (0.25199703*AE3)</f>
        <v>0.5052400945</v>
      </c>
      <c r="Q9" s="21" t="n">
        <v>0</v>
      </c>
      <c r="R9" s="0"/>
      <c r="S9" s="6" t="s">
        <v>90</v>
      </c>
      <c r="T9" s="3" t="n">
        <v>0.14875</v>
      </c>
      <c r="U9" s="3" t="n">
        <v>0.290416666666667</v>
      </c>
      <c r="V9" s="3" t="n">
        <v>0.349166666666667</v>
      </c>
      <c r="W9" s="3" t="n">
        <v>0.363333333333334</v>
      </c>
      <c r="X9" s="3" t="n">
        <v>0.384166666666667</v>
      </c>
      <c r="Y9" s="3" t="n">
        <v>0.38</v>
      </c>
      <c r="Z9" s="3" t="n">
        <v>0.363333333333333</v>
      </c>
      <c r="AA9" s="3" t="n">
        <v>0.346666666666667</v>
      </c>
      <c r="AB9" s="3" t="n">
        <v>0.34</v>
      </c>
      <c r="AC9" s="3" t="n">
        <v>0.340833333333334</v>
      </c>
      <c r="AD9" s="3" t="n">
        <v>0.345833333333334</v>
      </c>
      <c r="AE9" s="3" t="n">
        <v>0.346666666666667</v>
      </c>
      <c r="AF9" s="3" t="n">
        <v>0.325</v>
      </c>
      <c r="AG9" s="3" t="n">
        <v>0.3</v>
      </c>
      <c r="AH9" s="3" t="n">
        <v>0.27</v>
      </c>
      <c r="AI9" s="3" t="n">
        <v>0</v>
      </c>
      <c r="AR9" s="4"/>
      <c r="AS9" s="4"/>
      <c r="AT9" s="4"/>
      <c r="AU9" s="4"/>
      <c r="AV9" s="4"/>
      <c r="AW9" s="4"/>
      <c r="AX9" s="4"/>
      <c r="AY9" s="4"/>
      <c r="AZ9" s="4"/>
      <c r="BA9" s="4"/>
    </row>
    <row r="10" customFormat="false" ht="55.95" hidden="false" customHeight="true" outlineLevel="0" collapsed="false">
      <c r="A10" s="20" t="s">
        <v>119</v>
      </c>
      <c r="B10" s="21" t="n">
        <v>0</v>
      </c>
      <c r="C10" s="21" t="n">
        <f aca="false">(0.04744549) + (0.25199703*R4)</f>
        <v>0.0768451435</v>
      </c>
      <c r="D10" s="21" t="n">
        <f aca="false">(0.04744549) + (0.25199703*S4)</f>
        <v>0.291042619</v>
      </c>
      <c r="E10" s="21" t="n">
        <f aca="false">(0.04744549) + (0.25199703*T4)</f>
        <v>0.3876414805</v>
      </c>
      <c r="F10" s="21" t="n">
        <f aca="false">(0.04744549) + (0.25199703*U4)</f>
        <v>0.5976390055</v>
      </c>
      <c r="G10" s="21" t="n">
        <f aca="false">(0.04744549) + (0.25199703*V4)</f>
        <v>0.6648382135</v>
      </c>
      <c r="H10" s="21" t="n">
        <f aca="false">(0.04744549) + (0.25199703*W4)</f>
        <v>0.727837471</v>
      </c>
      <c r="I10" s="21" t="n">
        <f aca="false">(0.04744549) + (0.25199703*X4)</f>
        <v>0.879035689</v>
      </c>
      <c r="J10" s="21" t="n">
        <f aca="false">(0.04744549) + (0.25199703*Y4)</f>
        <v>1.047033709</v>
      </c>
      <c r="K10" s="21" t="n">
        <f aca="false">(0.04744549) + (0.25199703*Z4)</f>
        <v>1.1352326695</v>
      </c>
      <c r="L10" s="21" t="n">
        <f aca="false">(0.04744549) + (0.25199703*AA4)</f>
        <v>1.1352326695</v>
      </c>
      <c r="M10" s="21" t="n">
        <f aca="false">(0.04744549) + (0.25199703*AB4)</f>
        <v>0.954634798</v>
      </c>
      <c r="N10" s="21" t="n">
        <f aca="false">(0.04744549) + (0.25199703*AC4)</f>
        <v>0.811836481</v>
      </c>
      <c r="O10" s="21" t="n">
        <f aca="false">(0.04744549) + (0.25199703*AD4)</f>
        <v>0.6816380155</v>
      </c>
      <c r="P10" s="21" t="n">
        <f aca="false">(0.04744549) + (0.25199703*AE4)</f>
        <v>0.6144388075</v>
      </c>
      <c r="Q10" s="21" t="n">
        <v>0</v>
      </c>
      <c r="R10" s="0"/>
      <c r="S10" s="6" t="s">
        <v>92</v>
      </c>
      <c r="T10" s="3" t="n">
        <f aca="false">(T8+U8)/2</f>
        <v>0.033172633625</v>
      </c>
      <c r="U10" s="3" t="n">
        <f aca="false">(U8+V8)/2</f>
        <v>0.182893893625</v>
      </c>
      <c r="V10" s="3" t="n">
        <f aca="false">(V8+W8)/2</f>
        <v>0.717960612</v>
      </c>
      <c r="W10" s="3" t="n">
        <f aca="false">(W8+X8)/2</f>
        <v>1.22537765625</v>
      </c>
      <c r="X10" s="3" t="n">
        <f aca="false">(X8+Y8)/2</f>
        <v>1.3534761465</v>
      </c>
      <c r="Y10" s="3" t="n">
        <f aca="false">(Y8+Z8)/2</f>
        <v>1.3842757835</v>
      </c>
      <c r="Z10" s="3" t="n">
        <f aca="false">(Z8+AA8)/2</f>
        <v>1.47737468625</v>
      </c>
      <c r="AA10" s="3" t="n">
        <f aca="false">(AA8+AB8)/2</f>
        <v>1.1717302639375</v>
      </c>
      <c r="AB10" s="3" t="n">
        <f aca="false">(AB8+AC8)/2</f>
        <v>1.5038763493125</v>
      </c>
      <c r="AC10" s="3" t="n">
        <f aca="false">(AC8+AD8)/2</f>
        <v>2.253665537</v>
      </c>
      <c r="AD10" s="3" t="n">
        <f aca="false">(AD8+AE8)/2</f>
        <v>2.118217133375</v>
      </c>
      <c r="AE10" s="3" t="n">
        <f aca="false">(AE8+AF8)/2</f>
        <v>1.81477070975</v>
      </c>
      <c r="AF10" s="3" t="n">
        <f aca="false">(AF8+AG8)/2</f>
        <v>1.530224063375</v>
      </c>
      <c r="AG10" s="3" t="n">
        <f aca="false">(AG8+AH8)/2</f>
        <v>1.28137699625</v>
      </c>
      <c r="AH10" s="3" t="n">
        <f aca="false">(AH8+AI8)/2</f>
        <v>0.579789215875</v>
      </c>
      <c r="AI10" s="3" t="n">
        <v>0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</row>
    <row r="11" customFormat="false" ht="46.25" hidden="false" customHeight="true" outlineLevel="0" collapsed="false">
      <c r="A11" s="20" t="s">
        <v>120</v>
      </c>
      <c r="B11" s="21" t="n">
        <v>0</v>
      </c>
      <c r="C11" s="21" t="n">
        <f aca="false">(0.04744549) + (0.25199703*R5)</f>
        <v>0.055845391</v>
      </c>
      <c r="D11" s="21" t="n">
        <f aca="false">(0.04744549) + (0.25199703*S5)</f>
        <v>0.106244797</v>
      </c>
      <c r="E11" s="21" t="n">
        <f aca="false">(0.04744549) + (0.25199703*T5)</f>
        <v>0.1440443515</v>
      </c>
      <c r="F11" s="21" t="n">
        <f aca="false">(0.04744549) + (0.25199703*U5)</f>
        <v>0.366641728</v>
      </c>
      <c r="G11" s="21" t="n">
        <f aca="false">(0.04744549) + (0.25199703*V5)</f>
        <v>0.5388396985</v>
      </c>
      <c r="H11" s="21" t="n">
        <f aca="false">(0.04744549) + (0.25199703*W5)</f>
        <v>0.610238857</v>
      </c>
      <c r="I11" s="21" t="n">
        <f aca="false">(0.04744549) + (0.25199703*X5)</f>
        <v>0.811836481</v>
      </c>
      <c r="J11" s="21" t="n">
        <f aca="false">(0.04744549) + (0.25199703*Y5)</f>
        <v>0.055845391</v>
      </c>
      <c r="K11" s="21" t="n">
        <f aca="false">(0.04744549) + (0.25199703*Z5)</f>
        <v>1.164632323</v>
      </c>
      <c r="L11" s="21" t="n">
        <f aca="false">(0.04744549) + (0.25199703*AA5)</f>
        <v>1.114232917</v>
      </c>
      <c r="M11" s="21" t="n">
        <f aca="false">(0.04744549) + (0.25199703*AB5)</f>
        <v>0.937834996</v>
      </c>
      <c r="N11" s="21" t="n">
        <f aca="false">(0.04744549) + (0.25199703*AC5)</f>
        <v>0.837036184</v>
      </c>
      <c r="O11" s="21" t="n">
        <f aca="false">(0.04744549) + (0.25199703*AD5)</f>
        <v>0.677438065</v>
      </c>
      <c r="P11" s="21" t="n">
        <f aca="false">(0.04744549) + (0.25199703*AE5)</f>
        <v>0.694237867</v>
      </c>
      <c r="Q11" s="21" t="n">
        <v>0</v>
      </c>
      <c r="R11" s="0"/>
      <c r="S11" s="6" t="s">
        <v>94</v>
      </c>
      <c r="T11" s="12" t="n">
        <f aca="false">T10*T9</f>
        <v>0.00493442925171875</v>
      </c>
      <c r="U11" s="12" t="n">
        <f aca="false">U10*U9</f>
        <v>0.0531154349402605</v>
      </c>
      <c r="V11" s="12" t="n">
        <f aca="false">V10*V9</f>
        <v>0.25068791369</v>
      </c>
      <c r="W11" s="12" t="n">
        <f aca="false">W10*W9</f>
        <v>0.445220548437501</v>
      </c>
      <c r="X11" s="12" t="n">
        <f aca="false">X10*X9</f>
        <v>0.519960419613751</v>
      </c>
      <c r="Y11" s="12" t="n">
        <f aca="false">Y10*Y9</f>
        <v>0.52602479773</v>
      </c>
      <c r="Z11" s="12" t="n">
        <f aca="false">Z10*Z9</f>
        <v>0.5367794693375</v>
      </c>
      <c r="AA11" s="12" t="n">
        <f aca="false">AA10*AA9</f>
        <v>0.406199824831667</v>
      </c>
      <c r="AB11" s="12" t="n">
        <f aca="false">AB10*AB9</f>
        <v>0.51131795876625</v>
      </c>
      <c r="AC11" s="12" t="n">
        <f aca="false">AC10*AC9</f>
        <v>0.768124337194168</v>
      </c>
      <c r="AD11" s="12" t="n">
        <f aca="false">AD10*AD9</f>
        <v>0.732550091958856</v>
      </c>
      <c r="AE11" s="12" t="n">
        <f aca="false">AE10*AE9</f>
        <v>0.629120512713334</v>
      </c>
      <c r="AF11" s="12" t="n">
        <f aca="false">AF10*AF9</f>
        <v>0.497322820596875</v>
      </c>
      <c r="AG11" s="12" t="n">
        <f aca="false">AG10*AG9</f>
        <v>0.384413098875</v>
      </c>
      <c r="AH11" s="12" t="n">
        <f aca="false">AH10*AH9</f>
        <v>0.15654308828625</v>
      </c>
      <c r="AI11" s="12" t="n">
        <v>0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</row>
    <row r="12" customFormat="false" ht="56.7" hidden="false" customHeight="true" outlineLevel="0" collapsed="false">
      <c r="A12" s="0"/>
      <c r="P12" s="0"/>
      <c r="R12" s="0"/>
      <c r="S12" s="6" t="s">
        <v>95</v>
      </c>
      <c r="T12" s="12" t="n">
        <f aca="false">SUM(T11:AH11)</f>
        <v>6.42231474622313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</row>
    <row r="13" customFormat="false" ht="61.15" hidden="false" customHeight="true" outlineLevel="0" collapsed="false">
      <c r="A13" s="15" t="s">
        <v>88</v>
      </c>
      <c r="B13" s="6" t="s">
        <v>0</v>
      </c>
      <c r="C13" s="6" t="s">
        <v>1</v>
      </c>
      <c r="D13" s="6" t="s">
        <v>2</v>
      </c>
      <c r="E13" s="6" t="s">
        <v>3</v>
      </c>
      <c r="F13" s="6" t="s">
        <v>4</v>
      </c>
      <c r="G13" s="6" t="s">
        <v>5</v>
      </c>
      <c r="H13" s="6" t="s">
        <v>6</v>
      </c>
      <c r="I13" s="6" t="s">
        <v>7</v>
      </c>
      <c r="J13" s="6" t="s">
        <v>8</v>
      </c>
      <c r="K13" s="6" t="s">
        <v>9</v>
      </c>
      <c r="L13" s="6" t="s">
        <v>10</v>
      </c>
      <c r="M13" s="6" t="s">
        <v>11</v>
      </c>
      <c r="N13" s="6" t="s">
        <v>12</v>
      </c>
      <c r="O13" s="6" t="s">
        <v>13</v>
      </c>
      <c r="P13" s="6" t="s">
        <v>14</v>
      </c>
      <c r="Q13" s="6" t="s">
        <v>15</v>
      </c>
      <c r="R13" s="0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</row>
    <row r="14" customFormat="false" ht="50.7" hidden="false" customHeight="true" outlineLevel="0" collapsed="false">
      <c r="A14" s="6" t="s">
        <v>89</v>
      </c>
      <c r="B14" s="3" t="n">
        <v>0</v>
      </c>
      <c r="C14" s="3" t="n">
        <v>0.06634526725</v>
      </c>
      <c r="D14" s="3" t="n">
        <v>0.29944252</v>
      </c>
      <c r="E14" s="3" t="n">
        <v>1.136478704</v>
      </c>
      <c r="F14" s="3" t="n">
        <v>1.3142766085</v>
      </c>
      <c r="G14" s="3" t="n">
        <v>1.3926756845</v>
      </c>
      <c r="H14" s="3" t="n">
        <v>1.3758758825</v>
      </c>
      <c r="I14" s="3" t="n">
        <v>1.57887349</v>
      </c>
      <c r="J14" s="3" t="n">
        <v>0.764587037875</v>
      </c>
      <c r="K14" s="3" t="n">
        <v>2.24316566075</v>
      </c>
      <c r="L14" s="3" t="n">
        <v>2.26416541325</v>
      </c>
      <c r="M14" s="3" t="n">
        <v>1.9722688535</v>
      </c>
      <c r="N14" s="3" t="n">
        <v>1.657272566</v>
      </c>
      <c r="O14" s="3" t="n">
        <v>1.40317556075</v>
      </c>
      <c r="P14" s="3" t="n">
        <v>1.15957843175</v>
      </c>
      <c r="Q14" s="3" t="n">
        <v>0</v>
      </c>
      <c r="R14" s="0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</row>
    <row r="15" customFormat="false" ht="90.5" hidden="false" customHeight="true" outlineLevel="0" collapsed="false">
      <c r="A15" s="6" t="s">
        <v>91</v>
      </c>
      <c r="B15" s="3" t="n">
        <f aca="false">(D16-B16)/2</f>
        <v>0.5</v>
      </c>
      <c r="C15" s="3" t="n">
        <f aca="false">(E16-C16)/2</f>
        <v>0.5</v>
      </c>
      <c r="D15" s="3" t="n">
        <f aca="false">(F16-D16)/2</f>
        <v>0.5</v>
      </c>
      <c r="E15" s="3" t="n">
        <f aca="false">(G16-E16)/2</f>
        <v>0.5</v>
      </c>
      <c r="F15" s="3" t="n">
        <f aca="false">(H16-F16)/2</f>
        <v>0.5</v>
      </c>
      <c r="G15" s="3" t="n">
        <f aca="false">(I16-G16)/2</f>
        <v>0.5</v>
      </c>
      <c r="H15" s="3" t="n">
        <f aca="false">(J16-H16)/2</f>
        <v>0.5</v>
      </c>
      <c r="I15" s="3" t="n">
        <f aca="false">(K16-I16)/2</f>
        <v>0.5</v>
      </c>
      <c r="J15" s="3" t="n">
        <f aca="false">(L16-J16)/2</f>
        <v>0.5</v>
      </c>
      <c r="K15" s="3" t="n">
        <f aca="false">(M16-K16)/2</f>
        <v>0.5</v>
      </c>
      <c r="L15" s="3" t="n">
        <f aca="false">(N16-L16)/2</f>
        <v>0.5</v>
      </c>
      <c r="M15" s="3" t="n">
        <f aca="false">(O16-M16)/2</f>
        <v>0.5</v>
      </c>
      <c r="N15" s="3" t="n">
        <f aca="false">(P16-N16)/2</f>
        <v>0.5</v>
      </c>
      <c r="O15" s="3" t="n">
        <f aca="false">(Q16-O16)/2</f>
        <v>0.5</v>
      </c>
      <c r="P15" s="3"/>
      <c r="Q15" s="3"/>
      <c r="R15" s="0"/>
    </row>
    <row r="16" customFormat="false" ht="63.4" hidden="false" customHeight="true" outlineLevel="0" collapsed="false">
      <c r="A16" s="6" t="s">
        <v>93</v>
      </c>
      <c r="B16" s="3" t="n">
        <v>0.5</v>
      </c>
      <c r="C16" s="3" t="n">
        <v>1</v>
      </c>
      <c r="D16" s="3" t="n">
        <v>1.5</v>
      </c>
      <c r="E16" s="3" t="n">
        <v>2</v>
      </c>
      <c r="F16" s="3" t="n">
        <v>2.5</v>
      </c>
      <c r="G16" s="3" t="n">
        <v>3</v>
      </c>
      <c r="H16" s="3" t="n">
        <v>3.5</v>
      </c>
      <c r="I16" s="3" t="n">
        <v>4</v>
      </c>
      <c r="J16" s="3" t="n">
        <v>4.5</v>
      </c>
      <c r="K16" s="3" t="n">
        <v>5</v>
      </c>
      <c r="L16" s="3" t="n">
        <v>5.5</v>
      </c>
      <c r="M16" s="3" t="n">
        <v>6</v>
      </c>
      <c r="N16" s="3" t="n">
        <v>6.5</v>
      </c>
      <c r="O16" s="3" t="n">
        <v>7</v>
      </c>
      <c r="P16" s="3" t="n">
        <v>7.5</v>
      </c>
      <c r="Q16" s="3" t="n">
        <v>8</v>
      </c>
      <c r="R16" s="0"/>
    </row>
    <row r="17" customFormat="false" ht="97" hidden="false" customHeight="true" outlineLevel="0" collapsed="false">
      <c r="A17" s="6" t="s">
        <v>90</v>
      </c>
      <c r="B17" s="3" t="n">
        <f aca="false">B15*C18</f>
        <v>0.230833333333334</v>
      </c>
      <c r="C17" s="3" t="n">
        <f aca="false">C15*D18</f>
        <v>0.35</v>
      </c>
      <c r="D17" s="3" t="n">
        <f aca="false">D15*E18</f>
        <v>0.348333333333334</v>
      </c>
      <c r="E17" s="3" t="n">
        <f aca="false">E15*F18</f>
        <v>0.378333333333334</v>
      </c>
      <c r="F17" s="3" t="n">
        <f aca="false">F15*G18</f>
        <v>0.39</v>
      </c>
      <c r="G17" s="3" t="n">
        <f aca="false">G15*H18</f>
        <v>0.37</v>
      </c>
      <c r="H17" s="3" t="n">
        <f aca="false">H15*I18</f>
        <v>0.356666666666667</v>
      </c>
      <c r="I17" s="3" t="n">
        <f aca="false">I15*J18</f>
        <v>0.336666666666667</v>
      </c>
      <c r="J17" s="3" t="n">
        <f aca="false">J15*K18</f>
        <v>0.343333333333334</v>
      </c>
      <c r="K17" s="3" t="n">
        <f aca="false">K15*L18</f>
        <v>0.338333333333334</v>
      </c>
      <c r="L17" s="3" t="n">
        <f aca="false">L15*M18</f>
        <v>0.353333333333334</v>
      </c>
      <c r="M17" s="3" t="n">
        <f aca="false">M15*N18</f>
        <v>0.34</v>
      </c>
      <c r="N17" s="3" t="n">
        <f aca="false">N15*O18</f>
        <v>0.31</v>
      </c>
      <c r="O17" s="3" t="n">
        <f aca="false">O15*P18</f>
        <v>0.29</v>
      </c>
      <c r="P17" s="3" t="s">
        <v>54</v>
      </c>
      <c r="Q17" s="3" t="s">
        <v>54</v>
      </c>
      <c r="R17" s="0"/>
    </row>
    <row r="18" customFormat="false" ht="87.3" hidden="false" customHeight="true" outlineLevel="0" collapsed="false">
      <c r="A18" s="6" t="s">
        <v>96</v>
      </c>
      <c r="B18" s="3" t="n">
        <v>0.133333333333333</v>
      </c>
      <c r="C18" s="3" t="n">
        <v>0.461666666666667</v>
      </c>
      <c r="D18" s="3" t="n">
        <v>0.7</v>
      </c>
      <c r="E18" s="3" t="n">
        <v>0.696666666666667</v>
      </c>
      <c r="F18" s="3" t="n">
        <v>0.756666666666667</v>
      </c>
      <c r="G18" s="3" t="n">
        <v>0.78</v>
      </c>
      <c r="H18" s="3" t="n">
        <v>0.74</v>
      </c>
      <c r="I18" s="3" t="n">
        <v>0.713333333333333</v>
      </c>
      <c r="J18" s="3" t="n">
        <v>0.673333333333333</v>
      </c>
      <c r="K18" s="3" t="n">
        <v>0.686666666666667</v>
      </c>
      <c r="L18" s="3" t="n">
        <v>0.676666666666667</v>
      </c>
      <c r="M18" s="3" t="n">
        <v>0.706666666666667</v>
      </c>
      <c r="N18" s="3" t="n">
        <v>0.68</v>
      </c>
      <c r="O18" s="3" t="n">
        <v>0.62</v>
      </c>
      <c r="P18" s="3" t="n">
        <v>0.58</v>
      </c>
      <c r="Q18" s="3" t="n">
        <v>0.5</v>
      </c>
      <c r="R18" s="0"/>
    </row>
    <row r="19" customFormat="false" ht="76.1" hidden="false" customHeight="true" outlineLevel="0" collapsed="false">
      <c r="A19" s="6" t="s">
        <v>94</v>
      </c>
      <c r="B19" s="3" t="n">
        <f aca="false">B17*C14</f>
        <v>0.0153146991902083</v>
      </c>
      <c r="C19" s="3" t="n">
        <f aca="false">C17*D14</f>
        <v>0.104804882</v>
      </c>
      <c r="D19" s="3" t="n">
        <f aca="false">D17*E14</f>
        <v>0.395873415226667</v>
      </c>
      <c r="E19" s="3" t="n">
        <f aca="false">E17*F14</f>
        <v>0.497234650215834</v>
      </c>
      <c r="F19" s="3" t="n">
        <f aca="false">F17*G14</f>
        <v>0.543143516955</v>
      </c>
      <c r="G19" s="3" t="n">
        <f aca="false">G17*H14</f>
        <v>0.509074076525</v>
      </c>
      <c r="H19" s="3" t="n">
        <f aca="false">H17*I14</f>
        <v>0.563131544766666</v>
      </c>
      <c r="I19" s="3" t="n">
        <f aca="false">I17*J14</f>
        <v>0.257410969417917</v>
      </c>
      <c r="J19" s="3" t="n">
        <f aca="false">J17*K14</f>
        <v>0.770153543524167</v>
      </c>
      <c r="K19" s="3" t="n">
        <f aca="false">K17*L14</f>
        <v>0.766042631482917</v>
      </c>
      <c r="L19" s="3" t="n">
        <f aca="false">L17*M14</f>
        <v>0.696868328236667</v>
      </c>
      <c r="M19" s="3" t="n">
        <f aca="false">M17*N14</f>
        <v>0.56347267244</v>
      </c>
      <c r="N19" s="3" t="n">
        <f aca="false">N17*O14</f>
        <v>0.4349844238325</v>
      </c>
      <c r="O19" s="3" t="n">
        <f aca="false">O17*P14</f>
        <v>0.3362777452075</v>
      </c>
      <c r="P19" s="3" t="s">
        <v>54</v>
      </c>
      <c r="Q19" s="3" t="s">
        <v>54</v>
      </c>
      <c r="R19" s="0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</row>
    <row r="20" customFormat="false" ht="82.05" hidden="false" customHeight="true" outlineLevel="0" collapsed="false">
      <c r="A20" s="6" t="s">
        <v>95</v>
      </c>
      <c r="B20" s="3" t="n">
        <f aca="false">SUM(B19:P19)</f>
        <v>6.45378709902104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0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</row>
    <row r="21" customFormat="false" ht="78.35" hidden="false" customHeight="true" outlineLevel="0" collapsed="false">
      <c r="A21" s="0"/>
      <c r="P21" s="0"/>
      <c r="R21" s="0"/>
    </row>
    <row r="22" customFormat="false" ht="78.35" hidden="false" customHeight="true" outlineLevel="0" collapsed="false">
      <c r="A22" s="0"/>
      <c r="P22" s="0"/>
      <c r="R22" s="0"/>
    </row>
    <row r="23" customFormat="false" ht="83.55" hidden="false" customHeight="true" outlineLevel="0" collapsed="false">
      <c r="A23" s="0"/>
      <c r="P23" s="0"/>
      <c r="R23" s="0"/>
    </row>
    <row r="24" customFormat="false" ht="87.3" hidden="false" customHeight="true" outlineLevel="0" collapsed="false">
      <c r="A24" s="0"/>
      <c r="P24" s="0"/>
      <c r="R24" s="0"/>
    </row>
    <row r="25" customFormat="false" ht="87.3" hidden="false" customHeight="true" outlineLevel="0" collapsed="false">
      <c r="A25" s="0"/>
      <c r="P25" s="0"/>
      <c r="R25" s="0"/>
    </row>
    <row r="26" customFormat="false" ht="91.75" hidden="false" customHeight="true" outlineLevel="0" collapsed="false">
      <c r="A26" s="0"/>
      <c r="P26" s="0"/>
      <c r="R26" s="0"/>
    </row>
    <row r="27" customFormat="false" ht="89.55" hidden="false" customHeight="true" outlineLevel="0" collapsed="false">
      <c r="A27" s="8"/>
    </row>
    <row r="28" customFormat="false" ht="89.55" hidden="false" customHeight="true" outlineLevel="0" collapsed="false">
      <c r="A28" s="8"/>
    </row>
  </sheetData>
  <mergeCells count="2">
    <mergeCell ref="T12:AI12"/>
    <mergeCell ref="B20:Q20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1"/>
  <sheetViews>
    <sheetView showFormulas="false" showGridLines="true" showRowColHeaders="true" showZeros="true" rightToLeft="false" tabSelected="false" showOutlineSymbols="true" defaultGridColor="true" view="normal" topLeftCell="K1" colorId="64" zoomScale="85" zoomScaleNormal="85" zoomScalePageLayoutView="100" workbookViewId="0">
      <selection pane="topLeft" activeCell="S1" activeCellId="1" sqref="AK2:AK7 S1"/>
    </sheetView>
  </sheetViews>
  <sheetFormatPr defaultColWidth="11.53515625" defaultRowHeight="12.8" zeroHeight="false" outlineLevelRow="0" outlineLevelCol="0"/>
  <sheetData>
    <row r="1" customFormat="false" ht="54.4" hidden="false" customHeight="true" outlineLevel="0" collapsed="false">
      <c r="A1" s="30" t="s">
        <v>97</v>
      </c>
      <c r="B1" s="20" t="s">
        <v>98</v>
      </c>
      <c r="C1" s="20" t="s">
        <v>99</v>
      </c>
      <c r="D1" s="20" t="s">
        <v>100</v>
      </c>
      <c r="E1" s="20" t="s">
        <v>101</v>
      </c>
      <c r="F1" s="20" t="s">
        <v>102</v>
      </c>
      <c r="G1" s="20" t="s">
        <v>103</v>
      </c>
      <c r="H1" s="20" t="s">
        <v>104</v>
      </c>
      <c r="I1" s="20" t="s">
        <v>105</v>
      </c>
      <c r="J1" s="20" t="s">
        <v>106</v>
      </c>
      <c r="K1" s="20" t="s">
        <v>107</v>
      </c>
      <c r="L1" s="20" t="s">
        <v>108</v>
      </c>
      <c r="M1" s="20" t="s">
        <v>109</v>
      </c>
      <c r="N1" s="20" t="s">
        <v>110</v>
      </c>
      <c r="O1" s="20" t="s">
        <v>111</v>
      </c>
      <c r="P1" s="20" t="s">
        <v>112</v>
      </c>
      <c r="Q1" s="20" t="s">
        <v>113</v>
      </c>
    </row>
    <row r="2" customFormat="false" ht="46.5" hidden="false" customHeight="true" outlineLevel="0" collapsed="false">
      <c r="A2" s="20" t="n">
        <v>0.6</v>
      </c>
      <c r="B2" s="21" t="n">
        <v>0</v>
      </c>
      <c r="C2" s="21"/>
      <c r="D2" s="21"/>
      <c r="E2" s="21" t="n">
        <v>0.736237372</v>
      </c>
      <c r="F2" s="21" t="n">
        <v>0.736237372</v>
      </c>
      <c r="G2" s="21" t="n">
        <v>0.727837471</v>
      </c>
      <c r="H2" s="21" t="n">
        <v>0.677438065</v>
      </c>
      <c r="I2" s="21" t="n">
        <v>0.753037174</v>
      </c>
      <c r="J2" s="21"/>
      <c r="K2" s="21"/>
      <c r="L2" s="21"/>
      <c r="M2" s="21"/>
      <c r="N2" s="21"/>
      <c r="O2" s="21"/>
      <c r="P2" s="21"/>
      <c r="Q2" s="21" t="n">
        <v>0</v>
      </c>
    </row>
    <row r="3" customFormat="false" ht="53.55" hidden="false" customHeight="true" outlineLevel="0" collapsed="false">
      <c r="A3" s="20" t="n">
        <v>0.5</v>
      </c>
      <c r="B3" s="21" t="n">
        <v>0</v>
      </c>
      <c r="C3" s="21"/>
      <c r="D3" s="21" t="n">
        <v>0.509440045</v>
      </c>
      <c r="E3" s="21" t="n">
        <v>0.669038164</v>
      </c>
      <c r="F3" s="21" t="n">
        <v>0.769836976</v>
      </c>
      <c r="G3" s="21" t="n">
        <v>0.7908367285</v>
      </c>
      <c r="H3" s="21" t="n">
        <v>0.7572371245</v>
      </c>
      <c r="I3" s="21" t="n">
        <v>0.786636778</v>
      </c>
      <c r="J3" s="21" t="n">
        <v>0.9084353425</v>
      </c>
      <c r="K3" s="21" t="n">
        <v>1.0932331645</v>
      </c>
      <c r="L3" s="21" t="n">
        <v>1.13943262</v>
      </c>
      <c r="M3" s="21" t="n">
        <v>1.0260339565</v>
      </c>
      <c r="N3" s="21" t="n">
        <v>0.8328362335</v>
      </c>
      <c r="O3" s="21" t="n">
        <v>0.7236375205</v>
      </c>
      <c r="P3" s="21" t="n">
        <v>0.5052400945</v>
      </c>
      <c r="Q3" s="21" t="n">
        <v>0</v>
      </c>
    </row>
    <row r="4" customFormat="false" ht="39.5" hidden="false" customHeight="true" outlineLevel="0" collapsed="false">
      <c r="A4" s="20" t="n">
        <v>0.4</v>
      </c>
      <c r="B4" s="21" t="n">
        <v>0</v>
      </c>
      <c r="C4" s="21" t="n">
        <v>0.0768451435</v>
      </c>
      <c r="D4" s="21" t="n">
        <v>0.291042619</v>
      </c>
      <c r="E4" s="21" t="n">
        <v>0.3876414805</v>
      </c>
      <c r="F4" s="21" t="n">
        <v>0.5976390055</v>
      </c>
      <c r="G4" s="21" t="n">
        <v>0.6648382135</v>
      </c>
      <c r="H4" s="21" t="n">
        <v>0.727837471</v>
      </c>
      <c r="I4" s="21" t="n">
        <v>0.879035689</v>
      </c>
      <c r="J4" s="21" t="n">
        <v>1.047033709</v>
      </c>
      <c r="K4" s="21" t="n">
        <v>1.1352326695</v>
      </c>
      <c r="L4" s="21" t="n">
        <v>1.1352326695</v>
      </c>
      <c r="M4" s="21" t="n">
        <v>0.954634798</v>
      </c>
      <c r="N4" s="21" t="n">
        <v>0.811836481</v>
      </c>
      <c r="O4" s="21" t="n">
        <v>0.6816380155</v>
      </c>
      <c r="P4" s="21" t="n">
        <v>0.6144388075</v>
      </c>
      <c r="Q4" s="21" t="n">
        <v>0</v>
      </c>
    </row>
    <row r="5" customFormat="false" ht="34.2" hidden="false" customHeight="true" outlineLevel="0" collapsed="false">
      <c r="A5" s="20" t="n">
        <v>0.2</v>
      </c>
      <c r="B5" s="21" t="n">
        <v>0</v>
      </c>
      <c r="C5" s="21" t="n">
        <v>0.055845391</v>
      </c>
      <c r="D5" s="21" t="n">
        <v>0.106244797</v>
      </c>
      <c r="E5" s="21" t="n">
        <v>0.1440443515</v>
      </c>
      <c r="F5" s="21" t="n">
        <v>0.366641728</v>
      </c>
      <c r="G5" s="21" t="n">
        <v>0.5388396985</v>
      </c>
      <c r="H5" s="21" t="n">
        <v>0.610238857</v>
      </c>
      <c r="I5" s="21" t="n">
        <v>0.811836481</v>
      </c>
      <c r="J5" s="21" t="n">
        <v>0.055845391</v>
      </c>
      <c r="K5" s="21" t="n">
        <v>1.164632323</v>
      </c>
      <c r="L5" s="21" t="n">
        <v>1.114232917</v>
      </c>
      <c r="M5" s="21" t="n">
        <v>0.937834996</v>
      </c>
      <c r="N5" s="21" t="n">
        <v>0.837036184</v>
      </c>
      <c r="O5" s="21" t="n">
        <v>0.677438065</v>
      </c>
      <c r="P5" s="21" t="n">
        <v>0.694237867</v>
      </c>
      <c r="Q5" s="21" t="n">
        <v>0</v>
      </c>
    </row>
    <row r="6" customFormat="false" ht="38.45" hidden="false" customHeight="true" outlineLevel="0" collapsed="false"/>
    <row r="7" customFormat="false" ht="33.75" hidden="false" customHeight="true" outlineLevel="0" collapsed="false">
      <c r="B7" s="20" t="s">
        <v>98</v>
      </c>
      <c r="C7" s="20" t="s">
        <v>99</v>
      </c>
      <c r="D7" s="20" t="s">
        <v>100</v>
      </c>
      <c r="E7" s="20" t="s">
        <v>101</v>
      </c>
      <c r="F7" s="20" t="s">
        <v>102</v>
      </c>
      <c r="G7" s="20" t="s">
        <v>103</v>
      </c>
      <c r="H7" s="20" t="s">
        <v>104</v>
      </c>
      <c r="I7" s="20" t="s">
        <v>105</v>
      </c>
      <c r="J7" s="20" t="s">
        <v>106</v>
      </c>
      <c r="K7" s="20" t="s">
        <v>107</v>
      </c>
      <c r="L7" s="20" t="s">
        <v>108</v>
      </c>
      <c r="M7" s="20" t="s">
        <v>109</v>
      </c>
      <c r="N7" s="20" t="s">
        <v>110</v>
      </c>
      <c r="O7" s="20" t="s">
        <v>111</v>
      </c>
      <c r="P7" s="20" t="s">
        <v>112</v>
      </c>
      <c r="Q7" s="20" t="s">
        <v>113</v>
      </c>
    </row>
    <row r="8" customFormat="false" ht="44.75" hidden="false" customHeight="true" outlineLevel="0" collapsed="false">
      <c r="A8" s="20" t="s">
        <v>114</v>
      </c>
      <c r="B8" s="23" t="n">
        <v>0</v>
      </c>
      <c r="C8" s="26" t="n">
        <f aca="false">(C4+C5)*(A4-A5)/2</f>
        <v>0.01326905345</v>
      </c>
      <c r="D8" s="23" t="n">
        <f aca="false">((D5+D4)*(A4-A5)/2)+((D4+D3)*(A3-A4)/2)</f>
        <v>0.0797528748</v>
      </c>
      <c r="E8" s="23" t="n">
        <f aca="false">((E4+E5)*($A$4-$A$5)/2)+((E3+E4)*($A$3-$A$4)/2)+((E2+E3)*($A$2-$A$3)/2)</f>
        <v>0.176266342225</v>
      </c>
      <c r="F8" s="23" t="n">
        <f aca="false">((F4+F5)*($A$4-$A$5)/2)+((F3+F4)*($A$3-$A$4)/2)+((F2+F3)*($A$2-$A$3)/2)</f>
        <v>0.240105589825</v>
      </c>
      <c r="G8" s="23" t="n">
        <f aca="false">((G4+G5)*($A$4-$A$5)/2)+((G3+G4)*($A$3-$A$4)/2)+((G2+G3)*($A$2-$A$3)/2)</f>
        <v>0.269085248275</v>
      </c>
      <c r="H8" s="23" t="n">
        <f aca="false">((H4+H5)*($A$4-$A$5)/2)+((H3+H4)*($A$3-$A$4)/2)+((H2+H3)*($A$2-$A$3)/2)</f>
        <v>0.27979512205</v>
      </c>
      <c r="I8" s="23" t="n">
        <f aca="false">((I4+I5)*($A$4-$A$5)/2)+((I3+I4)*($A$3-$A$4)/2)+((I2+I3)*($A$2-$A$3)/2)</f>
        <v>0.32935453795</v>
      </c>
      <c r="J8" s="23" t="n">
        <f aca="false">((J4+J5)*($A$4-$A$5)/2)+((J3+J4)*($A$3-$A$4)/2)</f>
        <v>0.208061362575</v>
      </c>
      <c r="K8" s="23" t="n">
        <f aca="false">((K4+K5)*($A$4-$A$5)/2)+((K3+K4)*($A$3-$A$4)/2)</f>
        <v>0.34140979095</v>
      </c>
      <c r="L8" s="23" t="n">
        <f aca="false">((L4+L5)*($A$4-$A$5)/2)+((L3+L4)*($A$3-$A$4)/2)</f>
        <v>0.338679823125</v>
      </c>
      <c r="M8" s="23" t="n">
        <f aca="false">((M4+M5)*($A$4-$A$5)/2)+((M3+M4)*($A$3-$A$4)/2)</f>
        <v>0.288280417125</v>
      </c>
      <c r="N8" s="23" t="n">
        <f aca="false">((N4+N5)*($A$4-$A$5)/2)+((N3+N4)*($A$3-$A$4)/2)</f>
        <v>0.247120902225</v>
      </c>
      <c r="O8" s="23" t="n">
        <f aca="false">((O4+O5)*($A$4-$A$5)/2)+((O3+O4)*($A$3-$A$4)/2)</f>
        <v>0.20617138485</v>
      </c>
      <c r="P8" s="23" t="n">
        <f aca="false">((P4+P5)*($A$4-$A$5)/2)+((P3+P4)*($A$3-$A$4)/2)</f>
        <v>0.18685161255</v>
      </c>
      <c r="Q8" s="23" t="n">
        <v>0</v>
      </c>
    </row>
    <row r="9" customFormat="false" ht="52.6" hidden="false" customHeight="true" outlineLevel="0" collapsed="false">
      <c r="A9" s="20" t="s">
        <v>93</v>
      </c>
      <c r="B9" s="3" t="n">
        <v>0.5</v>
      </c>
      <c r="C9" s="3" t="n">
        <f aca="false">B9+0.5</f>
        <v>1</v>
      </c>
      <c r="D9" s="3" t="n">
        <f aca="false">C9+0.5</f>
        <v>1.5</v>
      </c>
      <c r="E9" s="3" t="n">
        <f aca="false">D9+0.5</f>
        <v>2</v>
      </c>
      <c r="F9" s="3" t="n">
        <f aca="false">E9+0.5</f>
        <v>2.5</v>
      </c>
      <c r="G9" s="3" t="n">
        <f aca="false">F9+0.5</f>
        <v>3</v>
      </c>
      <c r="H9" s="3" t="n">
        <f aca="false">G9+0.5</f>
        <v>3.5</v>
      </c>
      <c r="I9" s="3" t="n">
        <f aca="false">H9+0.5</f>
        <v>4</v>
      </c>
      <c r="J9" s="3" t="n">
        <f aca="false">I9+0.5</f>
        <v>4.5</v>
      </c>
      <c r="K9" s="3" t="n">
        <f aca="false">J9+0.5</f>
        <v>5</v>
      </c>
      <c r="L9" s="3" t="n">
        <f aca="false">K9+0.5</f>
        <v>5.5</v>
      </c>
      <c r="M9" s="3" t="n">
        <f aca="false">L9+0.5</f>
        <v>6</v>
      </c>
      <c r="N9" s="3" t="n">
        <f aca="false">M9+0.5</f>
        <v>6.5</v>
      </c>
      <c r="O9" s="3" t="n">
        <f aca="false">N9+0.5</f>
        <v>7</v>
      </c>
      <c r="P9" s="3" t="n">
        <f aca="false">O9+0.5</f>
        <v>7.5</v>
      </c>
      <c r="Q9" s="3" t="n">
        <f aca="false">P9+0.5</f>
        <v>8</v>
      </c>
    </row>
    <row r="10" customFormat="false" ht="47.1" hidden="false" customHeight="true" outlineLevel="0" collapsed="false">
      <c r="A10" s="20" t="s">
        <v>115</v>
      </c>
      <c r="B10" s="23" t="n">
        <f aca="false">(C9-B9)*B8</f>
        <v>0</v>
      </c>
      <c r="C10" s="23" t="n">
        <f aca="false">(D9-C9)*C8</f>
        <v>0.006634526725</v>
      </c>
      <c r="D10" s="23" t="n">
        <f aca="false">(E9-D9)*D8</f>
        <v>0.0398764374</v>
      </c>
      <c r="E10" s="23" t="n">
        <f aca="false">(F9-E9)*E8</f>
        <v>0.0881331711125</v>
      </c>
      <c r="F10" s="23" t="n">
        <f aca="false">(G9-F9)*F8</f>
        <v>0.1200527949125</v>
      </c>
      <c r="G10" s="23" t="n">
        <f aca="false">(H9-G9)*G8</f>
        <v>0.1345426241375</v>
      </c>
      <c r="H10" s="23" t="n">
        <f aca="false">(I9-H9)*H8</f>
        <v>0.139897561025</v>
      </c>
      <c r="I10" s="23" t="n">
        <f aca="false">(J9-I9)*I8</f>
        <v>0.164677268975</v>
      </c>
      <c r="J10" s="23" t="n">
        <f aca="false">(K9-J9)*J8</f>
        <v>0.1040306812875</v>
      </c>
      <c r="K10" s="23" t="n">
        <f aca="false">(L9-K9)*K8</f>
        <v>0.170704895475</v>
      </c>
      <c r="L10" s="23" t="n">
        <f aca="false">(M9-L9)*L8</f>
        <v>0.1693399115625</v>
      </c>
      <c r="M10" s="23" t="n">
        <f aca="false">(N9-M9)*M8</f>
        <v>0.1441402085625</v>
      </c>
      <c r="N10" s="23" t="n">
        <f aca="false">(O9-N9)*N8</f>
        <v>0.1235604511125</v>
      </c>
      <c r="O10" s="23" t="n">
        <f aca="false">(P9-O9)*O8</f>
        <v>0.103085692425</v>
      </c>
      <c r="P10" s="23" t="n">
        <f aca="false">(Q9-P9)*P8</f>
        <v>0.093425806275</v>
      </c>
      <c r="Q10" s="23" t="n">
        <f aca="false">(R9-Q9)*Q8</f>
        <v>-0</v>
      </c>
    </row>
    <row r="11" customFormat="false" ht="41.6" hidden="false" customHeight="true" outlineLevel="0" collapsed="false">
      <c r="A11" s="20" t="s">
        <v>116</v>
      </c>
      <c r="B11" s="20"/>
      <c r="C11" s="23" t="n">
        <f aca="false">SUM(B10:Q10)</f>
        <v>1.6021020309875</v>
      </c>
      <c r="D11" s="23"/>
    </row>
  </sheetData>
  <mergeCells count="2">
    <mergeCell ref="A11:B11"/>
    <mergeCell ref="C11:D1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Roman,Normal"&amp;12&amp;Kffffff&amp;A</oddHeader>
    <oddFooter>&amp;C&amp;"Times New Roman,Normal"&amp;12&amp;KffffffPágina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365</TotalTime>
  <Application>LibreOffice/7.5.7.1$Windows_X86_64 LibreOffice_project/47eb0cf7efbacdee9b19ae25d6752381ede23126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2023-11-23T10:31:15Z</dcterms:created>
  <dc:creator/>
  <dc:description/>
  <dc:language>pt-BR</dc:language>
  <cp:lastModifiedBy/>
  <dcterms:modified xsi:type="dcterms:W3CDTF">2023-11-23T11:58:22Z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gId">
    <vt:lpwstr>Excel.Sheet</vt:lpwstr>
  </property>
</Properties>
</file>